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514495cbe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мета" sheetId="1" r:id="Rd85d825e4f334749"/>
    <x:sheet xmlns:r="http://schemas.openxmlformats.org/officeDocument/2006/relationships" name="Закупка" sheetId="2" r:id="R062c2bf8a2aa4b08"/>
    <x:sheet xmlns:r="http://schemas.openxmlformats.org/officeDocument/2006/relationships" name="BOM по позициям" sheetId="3" r:id="Rf48db068f6234c8d"/>
    <x:sheet xmlns:r="http://schemas.openxmlformats.org/officeDocument/2006/relationships" name="Версия исходных данных" sheetId="4" r:id="Rc61b0d042ae5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;[Red](#,##0.00);0.00"/>
    <x:numFmt numFmtId="202" formatCode="#,##0.00###"/>
    <x:numFmt numFmtId="203" formatCode="0%"/>
  </x:numFmts>
  <x:fonts count="8">
    <x:font>
      <x:sz val="11"/>
      <x:name val="Carlito"/>
    </x:font>
    <x:font>
      <x:sz val="10"/>
      <x:color rgb="FF20364D"/>
      <x:name val="Arial"/>
    </x:font>
    <x:font>
      <x:b/>
      <x:sz val="18"/>
      <x:color rgb="FF20364D"/>
      <x:name val="Arial"/>
    </x:font>
    <x:font>
      <x:sz val="10"/>
      <x:color rgb="FF586B7B"/>
      <x:name val="Arial"/>
    </x:font>
    <x:font>
      <x:b/>
      <x:sz val="10"/>
      <x:color rgb="FFFFFFFF"/>
      <x:name val="Arial"/>
    </x:font>
    <x:font>
      <x:sz val="10"/>
      <x:color rgb="FF0040B0"/>
      <x:name val="Arial"/>
    </x:font>
    <x:font>
      <x:b/>
      <x:sz val="10"/>
      <x:color rgb="FF9C5200"/>
      <x:name val="Arial"/>
    </x:font>
    <x:font>
      <x:sz val="10"/>
      <x:color rgb="FF2483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D"/>
      </x:patternFill>
    </x:fill>
    <x:fill>
      <x:patternFill patternType="solid">
        <x:fgColor rgb="FFFFF0C7"/>
      </x:patternFill>
    </x:fill>
    <x:fill>
      <x:patternFill patternType="solid">
        <x:fgColor rgb="FFF3F6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 wrapText="1"/>
    </x:xf>
    <x:xf numFmtId="201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6eed7e73547fb" /><Relationship Type="http://schemas.openxmlformats.org/officeDocument/2006/relationships/theme" Target="/xl/theme/theme1.xml" Id="Rb38f48a3dd6d4c92" /><Relationship Type="http://schemas.openxmlformats.org/officeDocument/2006/relationships/sharedStrings" Target="/xl/sharedStrings.xml" Id="Rde1a1d33b9c1411f" /><Relationship Type="http://schemas.openxmlformats.org/officeDocument/2006/relationships/worksheet" Target="/xl/worksheets/sheet1.xml" Id="Rd85d825e4f334749" /><Relationship Type="http://schemas.openxmlformats.org/officeDocument/2006/relationships/worksheet" Target="/xl/worksheets/sheet2.xml" Id="R062c2bf8a2aa4b08" /><Relationship Type="http://schemas.openxmlformats.org/officeDocument/2006/relationships/worksheet" Target="/xl/worksheets/sheet3.xml" Id="Rf48db068f6234c8d" /><Relationship Type="http://schemas.openxmlformats.org/officeDocument/2006/relationships/worksheet" Target="/xl/worksheets/sheet4.xml" Id="Rc61b0d042ae54d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A8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55" hidden="0" customWidth="1"/>
  </x:cols>
  <x:sheetData>
    <x:row r="1" ht="24" customHeight="1">
      <x:c r="A1" s="3" t="str">
        <x:v>SPORT GDI6 — плата с монтажом</x:v>
      </x:c>
      <x:c r="B1" s="2"/>
      <x:c r="C1" s="2"/>
      <x:c r="D1" s="2"/>
      <x:c r="E1" s="2"/>
      <x:c r="F1" s="2"/>
    </x:row>
    <x:row r="2" ht="24" customHeight="1">
      <x:c r="A2" s="4" t="str">
        <x:v>28.10.2026 • 6 DI + 6 PI • B58B30 Gen2 / IDX1050 • Инженерная смета, USD</x:v>
      </x:c>
      <x:c r="B2" s="2"/>
      <x:c r="C2" s="2"/>
      <x:c r="D2" s="2"/>
      <x:c r="E2" s="2"/>
      <x:c r="F2" s="2"/>
    </x:row>
    <x:row r="3" ht="24" customHeight="1">
      <x:c r="A3" s="35" t="str">
        <x:v>Схема и BOM для инженерной проверки. Выпуск в производство закрыт.</x:v>
      </x:c>
      <x:c r="B3" s="2"/>
      <x:c r="C3" s="2"/>
      <x:c r="D3" s="2"/>
      <x:c r="E3" s="2" t="str">
        <x:v>Резерв неопределённости</x:v>
      </x:c>
      <x:c r="F3" s="38" t="n">
        <x:v>0.15</x:v>
      </x:c>
    </x:row>
    <x:row r="4" ht="24" customHeight="1">
      <x:c r="A4" s="2"/>
      <x:c r="B4" s="2"/>
      <x:c r="C4" s="2"/>
      <x:c r="D4" s="2"/>
      <x:c r="E4" s="2"/>
      <x:c r="F4" s="2"/>
    </x:row>
    <x:row r="5" ht="44" customHeight="1">
      <x:c r="A5" s="7" t="str">
        <x:v>Статья</x:v>
      </x:c>
      <x:c r="B5" s="7" t="str">
        <x:v>1 собранная плата</x:v>
      </x:c>
      <x:c r="C5" s="7" t="str">
        <x:v>10 собранных плат</x:v>
      </x:c>
      <x:c r="D5" s="7" t="str">
        <x:v>За 1 в партии 10</x:v>
      </x:c>
      <x:c r="E5" s="7" t="str">
        <x:v>Основание</x:v>
      </x:c>
      <x:c r="F5" s="7" t="str">
        <x:v>Пояснение</x:v>
      </x:c>
    </x:row>
    <x:row r="6" ht="24" customHeight="1">
      <x:c r="A6" s="2"/>
      <x:c r="B6" s="2"/>
      <x:c r="C6" s="2"/>
      <x:c r="D6" s="2"/>
      <x:c r="E6" s="2"/>
      <x:c r="F6" s="2"/>
    </x:row>
    <x:row r="7" ht="42" customHeight="1">
      <x:c r="A7" s="31" t="str">
        <x:v>Закупка деталей с запасом и MOQ</x:v>
      </x:c>
      <x:c r="B7" s="39" t="n">
        <x:f>'Закупка'!F155</x:f>
        <x:v>1490.2800000000007</x:v>
      </x:c>
      <x:c r="C7" s="39" t="n">
        <x:f>'Закупка'!J155</x:f>
        <x:v>7134.860000000001</x:v>
      </x:c>
      <x:c r="D7" s="19" t="n">
        <x:f>C7/10</x:f>
        <x:v>713.4860000000001</x:v>
      </x:c>
      <x:c r="E7" s="31" t="str">
        <x:v>Каталоги + резерв</x:v>
      </x:c>
      <x:c r="F7" s="31" t="str">
        <x:v>Разделение цен и оценок — на листе «Закупка».</x:v>
      </x:c>
    </x:row>
    <x:row r="8" ht="42" customHeight="1">
      <x:c r="A8" s="33" t="str">
        <x:v>Пустые платы: 5 / 10 шт.; сборка 1 / 10</x:v>
      </x:c>
      <x:c r="B8" s="18" t="n">
        <x:v>140.32</x:v>
      </x:c>
      <x:c r="C8" s="18" t="n">
        <x:v>186</x:v>
      </x:c>
      <x:c r="D8" s="21" t="n">
        <x:f>C8/10</x:f>
        <x:v>18.6</x:v>
      </x:c>
      <x:c r="E8" s="33" t="str">
        <x:v>Калькулятор PCB</x:v>
      </x:c>
      <x:c r="F8" s="33" t="str">
        <x:v>https://cart.jlcpcb.com/quote</x:v>
      </x:c>
    </x:row>
    <x:row r="9" ht="42" customHeight="1">
      <x:c r="A9" s="31" t="str">
        <x:v>Подготовка двухстороннего монтажа</x:v>
      </x:c>
      <x:c r="B9" s="17" t="n">
        <x:v>51.12</x:v>
      </x:c>
      <x:c r="C9" s="17" t="n">
        <x:v>51.12</x:v>
      </x:c>
      <x:c r="D9" s="19" t="n">
        <x:f>C9/10</x:f>
        <x:v>5.112</x:v>
      </x:c>
      <x:c r="E9" s="31" t="str">
        <x:v>Опубликованный тариф</x:v>
      </x:c>
      <x:c r="F9" s="31" t="str">
        <x:v>https://jlcpcb.com/help/article/pcb-assembly-price</x:v>
      </x:c>
    </x:row>
    <x:row r="10" ht="42" customHeight="1">
      <x:c r="A10" s="33" t="str">
        <x:v>Трафареты, двухсторонний Standard</x:v>
      </x:c>
      <x:c r="B10" s="18" t="n">
        <x:v>16.42</x:v>
      </x:c>
      <x:c r="C10" s="18" t="n">
        <x:v>16.42</x:v>
      </x:c>
      <x:c r="D10" s="21" t="n">
        <x:f>C10/10</x:f>
        <x:v>1.6420000000000001</x:v>
      </x:c>
      <x:c r="E10" s="33" t="str">
        <x:v>Опубликованный тариф</x:v>
      </x:c>
      <x:c r="F10" s="33" t="str">
        <x:v>https://jlcpcb.com/help/article/pcb-assembly-price</x:v>
      </x:c>
    </x:row>
    <x:row r="11" ht="42" customHeight="1">
      <x:c r="A11" s="31" t="str">
        <x:v>Монтажная оснастка</x:v>
      </x:c>
      <x:c r="B11" s="17" t="n">
        <x:v>16.42</x:v>
      </x:c>
      <x:c r="C11" s="17" t="n">
        <x:v>16.42</x:v>
      </x:c>
      <x:c r="D11" s="19" t="n">
        <x:f>C11/10</x:f>
        <x:v>1.6420000000000001</x:v>
      </x:c>
      <x:c r="E11" s="31" t="str">
        <x:v>Опубликованный тариф</x:v>
      </x:c>
      <x:c r="F11" s="31" t="str">
        <x:v>https://jlcpcb.com/help/article/pcb-assembly-price</x:v>
      </x:c>
    </x:row>
    <x:row r="12" ht="42" customHeight="1">
      <x:c r="A12" s="33" t="str">
        <x:v>Подготовка ручной пайки</x:v>
      </x:c>
      <x:c r="B12" s="18" t="n">
        <x:v>3.58</x:v>
      </x:c>
      <x:c r="C12" s="18" t="n">
        <x:v>3.58</x:v>
      </x:c>
      <x:c r="D12" s="21" t="n">
        <x:f>C12/10</x:f>
        <x:v>0.358</x:v>
      </x:c>
      <x:c r="E12" s="33" t="str">
        <x:v>Опубликованный тариф</x:v>
      </x:c>
      <x:c r="F12" s="33" t="str">
        <x:v>https://jlcpcb.com/help/article/pcb-assembly-price</x:v>
      </x:c>
    </x:row>
    <x:row r="13" ht="42" customHeight="1">
      <x:c r="A13" s="31" t="str">
        <x:v>Загрузка питателей по уникальным SMT позициям</x:v>
      </x:c>
      <x:c r="B13" s="17" t="n">
        <x:v>221.85</x:v>
      </x:c>
      <x:c r="C13" s="17" t="n">
        <x:v>221.85</x:v>
      </x:c>
      <x:c r="D13" s="19" t="n">
        <x:f>C13/10</x:f>
        <x:v>22.185</x:v>
      </x:c>
      <x:c r="E13" s="31" t="str">
        <x:v>Опубликованный тариф</x:v>
      </x:c>
      <x:c r="F13" s="31" t="str">
        <x:v>https://jlcpcb.com/help/article/pcb-assembly-price</x:v>
      </x:c>
    </x:row>
    <x:row r="14" ht="42" customHeight="1">
      <x:c r="A14" s="33" t="str">
        <x:v>SMT пайка по физическим паяным площадкам</x:v>
      </x:c>
      <x:c r="B14" s="18" t="n">
        <x:v>5.14</x:v>
      </x:c>
      <x:c r="C14" s="18" t="n">
        <x:v>51.36</x:v>
      </x:c>
      <x:c r="D14" s="21" t="n">
        <x:f>C14/10</x:f>
        <x:v>5.136</x:v>
      </x:c>
      <x:c r="E14" s="33" t="str">
        <x:v>Опубликованный тариф</x:v>
      </x:c>
      <x:c r="F14" s="33" t="str">
        <x:v>https://jlcpcb.com/help/article/pcb-assembly-price</x:v>
      </x:c>
    </x:row>
    <x:row r="15" ht="42" customHeight="1">
      <x:c r="A15" s="31" t="str">
        <x:v>Ручная пайка выводных компонентов</x:v>
      </x:c>
      <x:c r="B15" s="17" t="n">
        <x:v>2.66</x:v>
      </x:c>
      <x:c r="C15" s="17" t="n">
        <x:v>26.57</x:v>
      </x:c>
      <x:c r="D15" s="19" t="n">
        <x:f>C15/10</x:f>
        <x:v>2.657</x:v>
      </x:c>
      <x:c r="E15" s="31" t="str">
        <x:v>Опубликованный тариф</x:v>
      </x:c>
      <x:c r="F15" s="31" t="str">
        <x:v>https://jlcpcb.com/help/article/pcb-assembly-price</x:v>
      </x:c>
    </x:row>
    <x:row r="16" ht="42" customHeight="1">
      <x:c r="A16" s="33" t="str">
        <x:v>Рентген скрытых соединений</x:v>
      </x:c>
      <x:c r="B16" s="18" t="n">
        <x:v>16.4</x:v>
      </x:c>
      <x:c r="C16" s="18" t="n">
        <x:v>98</x:v>
      </x:c>
      <x:c r="D16" s="21" t="n">
        <x:f>C16/10</x:f>
        <x:v>9.8</x:v>
      </x:c>
      <x:c r="E16" s="33" t="str">
        <x:v>Опубликованный тариф</x:v>
      </x:c>
      <x:c r="F16" s="33" t="str">
        <x:v>https://jlcpcb.com/help/article/pcb-assembly-price</x:v>
      </x:c>
    </x:row>
    <x:row r="17" ht="42" customHeight="1">
      <x:c r="A17" s="31" t="str">
        <x:v>Упаковка и подтверждение размещения</x:v>
      </x:c>
      <x:c r="B17" s="17" t="n">
        <x:v>0.96</x:v>
      </x:c>
      <x:c r="C17" s="17" t="n">
        <x:v>5.57</x:v>
      </x:c>
      <x:c r="D17" s="19" t="n">
        <x:f>C17/10</x:f>
        <x:v>0.557</x:v>
      </x:c>
      <x:c r="E17" s="31" t="str">
        <x:v>Опубликованный тариф</x:v>
      </x:c>
      <x:c r="F17" s="31" t="str">
        <x:v>https://jlcpcb.com/help/article/pcb-assembly-price</x:v>
      </x:c>
    </x:row>
    <x:row r="18" ht="42" customHeight="1">
      <x:c r="A18" s="33" t="str">
        <x:v>Приём зарубежного комплекта деталей</x:v>
      </x:c>
      <x:c r="B18" s="18" t="n">
        <x:v>225</x:v>
      </x:c>
      <x:c r="C18" s="18" t="n">
        <x:v>225</x:v>
      </x:c>
      <x:c r="D18" s="21" t="n">
        <x:f>C18/10</x:f>
        <x:v>22.5</x:v>
      </x:c>
      <x:c r="E18" s="33" t="str">
        <x:v>Опубликованный тариф</x:v>
      </x:c>
      <x:c r="F18" s="33" t="str">
        <x:v>https://jlcpcb.com/help/article/consignment-part-terms-conditions</x:v>
      </x:c>
    </x:row>
    <x:row r="19" ht="42" customHeight="1">
      <x:c r="A19" s="31" t="str">
        <x:v>Резерв на техполя/панель и уточнение процесса</x:v>
      </x:c>
      <x:c r="B19" s="17" t="n">
        <x:v>40</x:v>
      </x:c>
      <x:c r="C19" s="17" t="n">
        <x:v>40</x:v>
      </x:c>
      <x:c r="D19" s="19" t="n">
        <x:f>C19/10</x:f>
        <x:v>4</x:v>
      </x:c>
      <x:c r="E19" s="31" t="str">
        <x:v>Оценочный резерв</x:v>
      </x:c>
      <x:c r="F19" s="31" t="str">
        <x:v>panel_and_process_reserve_per_order_usd</x:v>
      </x:c>
    </x:row>
    <x:row r="20" ht="42" customHeight="1">
      <x:c r="A20" s="33" t="str">
        <x:v>Резерв на переупаковку лент и подготовку деталей</x:v>
      </x:c>
      <x:c r="B20" s="18" t="n">
        <x:v>50</x:v>
      </x:c>
      <x:c r="C20" s="18" t="n">
        <x:v>50</x:v>
      </x:c>
      <x:c r="D20" s="21" t="n">
        <x:f>C20/10</x:f>
        <x:v>5</x:v>
      </x:c>
      <x:c r="E20" s="33" t="str">
        <x:v>Оценочный резерв</x:v>
      </x:c>
      <x:c r="F20" s="33" t="str">
        <x:v>packing_reeling_and_handling_reserve_per_order_usd</x:v>
      </x:c>
    </x:row>
    <x:row r="21" ht="42" customHeight="1">
      <x:c r="A21" s="31" t="str">
        <x:v>Подготовка программирования</x:v>
      </x:c>
      <x:c r="B21" s="17" t="n">
        <x:v>50</x:v>
      </x:c>
      <x:c r="C21" s="17" t="n">
        <x:v>50</x:v>
      </x:c>
      <x:c r="D21" s="19" t="n">
        <x:f>C21/10</x:f>
        <x:v>5</x:v>
      </x:c>
      <x:c r="E21" s="31" t="str">
        <x:v>Оценочный резерв</x:v>
      </x:c>
      <x:c r="F21" s="31" t="str">
        <x:v>programming_setup_per_order_usd</x:v>
      </x:c>
    </x:row>
    <x:row r="22" ht="42" customHeight="1">
      <x:c r="A22" s="33" t="str">
        <x:v>Подготовка электрической проверки партии</x:v>
      </x:c>
      <x:c r="B22" s="18" t="n">
        <x:v>100</x:v>
      </x:c>
      <x:c r="C22" s="18" t="n">
        <x:v>100</x:v>
      </x:c>
      <x:c r="D22" s="21" t="n">
        <x:f>C22/10</x:f>
        <x:v>10</x:v>
      </x:c>
      <x:c r="E22" s="33" t="str">
        <x:v>Оценочный резерв</x:v>
      </x:c>
      <x:c r="F22" s="33" t="str">
        <x:v>electrical_test_setup_per_order_usd</x:v>
      </x:c>
    </x:row>
    <x:row r="23" ht="42" customHeight="1">
      <x:c r="A23" s="31" t="str">
        <x:v>Программирование готовым тестовым образом</x:v>
      </x:c>
      <x:c r="B23" s="17" t="n">
        <x:v>10</x:v>
      </x:c>
      <x:c r="C23" s="17" t="n">
        <x:v>100</x:v>
      </x:c>
      <x:c r="D23" s="19" t="n">
        <x:f>C23/10</x:f>
        <x:v>10</x:v>
      </x:c>
      <x:c r="E23" s="31" t="str">
        <x:v>Оценочный резерв</x:v>
      </x:c>
      <x:c r="F23" s="31" t="str">
        <x:v>1 * per-board programming allowance</x:v>
      </x:c>
    </x:row>
    <x:row r="24" ht="42" customHeight="1">
      <x:c r="A24" s="33" t="str">
        <x:v>Электрическая проверка и пробное включение</x:v>
      </x:c>
      <x:c r="B24" s="18" t="n">
        <x:v>50</x:v>
      </x:c>
      <x:c r="C24" s="18" t="n">
        <x:v>500</x:v>
      </x:c>
      <x:c r="D24" s="21" t="n">
        <x:f>C24/10</x:f>
        <x:v>50</x:v>
      </x:c>
      <x:c r="E24" s="33" t="str">
        <x:v>Оценочный резерв</x:v>
      </x:c>
      <x:c r="F24" s="33" t="str">
        <x:v>1 * per-board electrical test allowance</x:v>
      </x:c>
    </x:row>
    <x:row r="25" ht="42" customHeight="1">
      <x:c r="A25" s="31" t="str">
        <x:v>Резерв неопределённости закупки и производства</x:v>
      </x:c>
      <x:c r="B25" s="19" t="n">
        <x:f>ROUND(SUM(B7:B24)*$F$3,2)</x:f>
        <x:v>373.52</x:v>
      </x:c>
      <x:c r="C25" s="19" t="n">
        <x:f>ROUND(SUM(C7:C24)*$F$3,2)</x:f>
        <x:v>1331.51</x:v>
      </x:c>
      <x:c r="D25" s="19" t="n">
        <x:f>C25/10</x:f>
        <x:v>133.151</x:v>
      </x:c>
      <x:c r="E25" s="31" t="str">
        <x:v>Оценочный резерв</x:v>
      </x:c>
      <x:c r="F25" s="31" t="str">
        <x:v>manufacturing subtotal before logistics/first fixture *5%/15%/30%</x:v>
      </x:c>
    </x:row>
    <x:row r="26" ht="42" customHeight="1">
      <x:c r="A26" s="33" t="str">
        <x:v>Бюджет доставки деталей и готовых плат</x:v>
      </x:c>
      <x:c r="B26" s="18" t="n">
        <x:v>120</x:v>
      </x:c>
      <x:c r="C26" s="18" t="n">
        <x:v>180</x:v>
      </x:c>
      <x:c r="D26" s="21" t="n">
        <x:f>C26/10</x:f>
        <x:v>18</x:v>
      </x:c>
      <x:c r="E26" s="33" t="str">
        <x:v>Оценочный резерв</x:v>
      </x:c>
      <x:c r="F26" s="33" t="str">
        <x:v>engineering shipping allowance; taxes/duties/brokerage excluded</x:v>
      </x:c>
    </x:row>
    <x:row r="27" ht="42" customHeight="1">
      <x:c r="A27" s="31" t="str">
        <x:v>Разовая подготовка проверочного жгута и адаптеров</x:v>
      </x:c>
      <x:c r="B27" s="17" t="n">
        <x:v>400</x:v>
      </x:c>
      <x:c r="C27" s="17" t="n">
        <x:v>400</x:v>
      </x:c>
      <x:c r="D27" s="19" t="n">
        <x:f>C27/10</x:f>
        <x:v>40</x:v>
      </x:c>
      <x:c r="E27" s="31" t="str">
        <x:v>Оценочный резерв</x:v>
      </x:c>
      <x:c r="F27" s="31" t="str">
        <x:v>first-project NRE, excluded for repeat batch only if fixture reusable</x:v>
      </x:c>
    </x:row>
    <x:row r="28" ht="24" customHeight="1">
      <x:c r="A28" s="2"/>
      <x:c r="B28" s="19"/>
      <x:c r="C28" s="19"/>
      <x:c r="D28" s="19"/>
      <x:c r="E28" s="2"/>
      <x:c r="F28" s="2"/>
    </x:row>
    <x:row r="29" ht="44" customHeight="1">
      <x:c r="A29" s="7" t="str">
        <x:v>БАЗОВЫЙ БЮДЖЕТ</x:v>
      </x:c>
      <x:c r="B29" s="30" t="n">
        <x:f>SUM(B7:B27)</x:f>
        <x:v>3383.6700000000005</x:v>
      </x:c>
      <x:c r="C29" s="30" t="n">
        <x:f>SUM(C7:C27)</x:f>
        <x:v>10788.26</x:v>
      </x:c>
      <x:c r="D29" s="30" t="n">
        <x:f>C29/10</x:f>
        <x:v>1078.826</x:v>
      </x:c>
      <x:c r="E29" s="7"/>
      <x:c r="F29" s="7"/>
    </x:row>
    <x:row r="30" ht="24" customHeight="1">
      <x:c r="A30" s="2"/>
      <x:c r="B30" s="19"/>
      <x:c r="C30" s="19"/>
      <x:c r="D30" s="19"/>
      <x:c r="E30" s="2"/>
      <x:c r="F30" s="2"/>
    </x:row>
    <x:row r="31" ht="24" customHeight="1">
      <x:c r="A31" s="2" t="str">
        <x:v>Нижняя оценка на дату расчёта</x:v>
      </x:c>
      <x:c r="B31" s="19" t="n">
        <x:v>2311.2</x:v>
      </x:c>
      <x:c r="C31" s="19" t="n">
        <x:v>7415.81</x:v>
      </x:c>
      <x:c r="D31" s="19" t="n">
        <x:v>741.581</x:v>
      </x:c>
      <x:c r="E31" s="2" t="str">
        <x:v>Оценка</x:v>
      </x:c>
      <x:c r="F31" s="2" t="str">
        <x:v>Диапазон фиксирован на дату расчёта.</x:v>
      </x:c>
    </x:row>
    <x:row r="32" ht="24" customHeight="1">
      <x:c r="A32" s="2" t="str">
        <x:v>Верхняя оценка на дату расчёта</x:v>
      </x:c>
      <x:c r="B32" s="19" t="n">
        <x:v>5790</x:v>
      </x:c>
      <x:c r="C32" s="19" t="n">
        <x:v>19120.54</x:v>
      </x:c>
      <x:c r="D32" s="19" t="n">
        <x:v>1912.054</x:v>
      </x:c>
      <x:c r="E32" s="2" t="str">
        <x:v>Оценка</x:v>
      </x:c>
      <x:c r="F32" s="2" t="str">
        <x:v>При правке входов пересчитывается базовый бюджет; диапазон требует пересмотра.</x:v>
      </x:c>
    </x:row>
    <x:row r="33" ht="24" customHeight="1">
      <x:c r="A33" s="2"/>
      <x:c r="B33" s="2"/>
      <x:c r="C33" s="2"/>
      <x:c r="D33" s="2"/>
      <x:c r="E33" s="2"/>
      <x:c r="F33" s="2"/>
    </x:row>
    <x:row r="34" ht="28" customHeight="1">
      <x:c r="A34" s="2" t="str">
        <x:v>USD; налоги и пошлины не включены. Корпус, жгут и внешние устройства не включены.</x:v>
      </x:c>
      <x:c r="B34" s="2"/>
      <x:c r="C34" s="2"/>
      <x:c r="D34" s="2"/>
      <x:c r="E34" s="2"/>
      <x:c r="F34" s="2"/>
    </x:row>
    <x:row r="35" ht="28" customHeight="1">
      <x:c r="A35" s="2" t="str">
        <x:v>Цены из каталогов: 44 групп; оценочные резервы: 105 групп.</x:v>
      </x:c>
      <x:c r="B35" s="2"/>
      <x:c r="C35" s="2"/>
      <x:c r="D35" s="2"/>
      <x:c r="E35" s="2"/>
      <x:c r="F35" s="2"/>
    </x:row>
    <x:row r="36" ht="28" customHeight="1">
      <x:c r="A36" s="2" t="str">
        <x:v>Для одного экземпляра оплачиваются 5 пустых PCB; четыре остаются в запасе.</x:v>
      </x:c>
      <x:c r="B36" s="2"/>
      <x:c r="C36" s="2"/>
      <x:c r="D36" s="2"/>
      <x:c r="E36" s="2"/>
      <x:c r="F36" s="2"/>
    </x:row>
    <x:row r="37" ht="28" customHeight="1">
      <x:c r="A37" s="2" t="str">
        <x:v>Каждая колонка — отдельный заказ. Не предполагается повторное использование закупленного остатка.</x:v>
      </x:c>
      <x:c r="B37" s="2"/>
      <x:c r="C37" s="2"/>
      <x:c r="D37" s="2"/>
      <x:c r="E37" s="2"/>
      <x:c r="F37" s="2"/>
    </x:row>
    <x:row r="38" ht="28" customHeight="1">
      <x:c r="A38" s="2" t="str">
        <x:v>Синие числа можно менять; итог и резерв 15% пересчитываются. Нижняя/верхняя оценки фиксированы.</x:v>
      </x:c>
      <x:c r="B38" s="2"/>
      <x:c r="C38" s="2"/>
      <x:c r="D38" s="2"/>
      <x:c r="E38" s="2"/>
      <x:c r="F38" s="2"/>
    </x:row>
    <x:row r="39" ht="28" customHeight="1">
      <x:c r="A39" s="2"/>
      <x:c r="B39" s="2"/>
      <x:c r="C39" s="2"/>
      <x:c r="D39" s="2"/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2"/>
      <x:c r="B42" s="2"/>
      <x:c r="C42" s="2"/>
      <x:c r="D42" s="2"/>
      <x:c r="E42" s="2"/>
      <x:c r="F42" s="2"/>
    </x:row>
    <x:row r="43" ht="24" customHeight="1">
      <x:c r="A43" s="2"/>
      <x:c r="B43" s="2"/>
      <x:c r="C43" s="2"/>
      <x:c r="D43" s="2"/>
      <x:c r="E43" s="2"/>
      <x:c r="F43" s="2"/>
    </x:row>
    <x:row r="44" ht="24" customHeight="1">
      <x:c r="A44" s="2"/>
      <x:c r="B44" s="2"/>
      <x:c r="C44" s="2"/>
      <x:c r="D44" s="2"/>
      <x:c r="E44" s="2"/>
      <x:c r="F4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A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6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25" hidden="0" customWidth="1"/>
    <x:col min="12" max="12" width="25" hidden="0" customWidth="1"/>
    <x:col min="13" max="13" width="48" hidden="0" customWidth="1"/>
    <x:col min="14" max="14" width="20" hidden="0" customWidth="1"/>
    <x:col min="15" max="15" width="22" hidden="0" customWidth="1"/>
    <x:col min="16" max="16" width="48" hidden="0" customWidth="1"/>
    <x:col min="17" max="17" width="48" hidden="0" customWidth="1"/>
    <x:col min="18" max="18" width="50" hidden="0" customWidth="1"/>
  </x:cols>
  <x:sheetData>
    <x:row r="1" ht="24" customHeight="1">
      <x:c r="A1" s="3" t="str">
        <x:v>Закупка компонентов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4" t="str">
        <x:v>28.10.2026 • USD • Пустая цена: нет подтверждённого прайса. Резерв показан отдельно.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44" customHeight="1">
      <x:c r="A5" s="7" t="str">
        <x:v>Артикул</x:v>
      </x:c>
      <x:c r="B5" s="7" t="str">
        <x:v>На плату</x:v>
      </x:c>
      <x:c r="C5" s="7" t="str">
        <x:v>Купить для 1</x:v>
      </x:c>
      <x:c r="D5" s="7" t="str">
        <x:v>Цена / шт., 1</x:v>
      </x:c>
      <x:c r="E5" s="7" t="str">
        <x:v>Резерв, 1</x:v>
      </x:c>
      <x:c r="F5" s="7" t="str">
        <x:v>Стоимость, 1</x:v>
      </x:c>
      <x:c r="G5" s="7" t="str">
        <x:v>Купить для 10</x:v>
      </x:c>
      <x:c r="H5" s="7" t="str">
        <x:v>Цена / шт., 10</x:v>
      </x:c>
      <x:c r="I5" s="7" t="str">
        <x:v>Резерв, 10</x:v>
      </x:c>
      <x:c r="J5" s="7" t="str">
        <x:v>Стоимость, 10</x:v>
      </x:c>
      <x:c r="K5" s="7" t="str">
        <x:v>Статус цены</x:v>
      </x:c>
      <x:c r="L5" s="7" t="str">
        <x:v>Производитель</x:v>
      </x:c>
      <x:c r="M5" s="7" t="str">
        <x:v>Позиции</x:v>
      </x:c>
      <x:c r="N5" s="7" t="str">
        <x:v>Корпус</x:v>
      </x:c>
      <x:c r="O5" s="7" t="str">
        <x:v>Статус подбора</x:v>
      </x:c>
      <x:c r="P5" s="7" t="str">
        <x:v>Источник цены</x:v>
      </x:c>
      <x:c r="Q5" s="7" t="str">
        <x:v>Источники подбора</x:v>
      </x:c>
      <x:c r="R5" s="7" t="str">
        <x:v>Ограничения</x:v>
      </x:c>
    </x:row>
    <x:row r="6" ht="42" customHeight="1">
      <x:c r="A6" s="9" t="str">
        <x:v>0603B334K250NT</x:v>
      </x:c>
      <x:c r="B6" s="10" t="n">
        <x:v>10</x:v>
      </x:c>
      <x:c r="C6" s="13" t="n">
        <x:v>30</x:v>
      </x:c>
      <x:c r="D6" s="22"/>
      <x:c r="E6" s="16" t="n">
        <x:v>5.4</x:v>
      </x:c>
      <x:c r="F6" s="20" t="n">
        <x:f>ROUND(IF(ISNUMBER(D6),C6*D6,0)+E6+1E-9,2)</x:f>
        <x:v>5.4</x:v>
      </x:c>
      <x:c r="G6" s="13" t="n">
        <x:v>120</x:v>
      </x:c>
      <x:c r="H6" s="22"/>
      <x:c r="I6" s="16" t="n">
        <x:v>21.6</x:v>
      </x:c>
      <x:c r="J6" s="20" t="n">
        <x:f>ROUND(IF(ISNUMBER(H6),G6*H6,0)+I6+1E-9,2)</x:f>
        <x:v>21.6</x:v>
      </x:c>
      <x:c r="K6" s="10" t="str">
        <x:v>NO_PRICE</x:v>
      </x:c>
      <x:c r="L6" s="2" t="str">
        <x:v>FH</x:v>
      </x:c>
      <x:c r="M6" s="31" t="str">
        <x:v>C216; C217; C218; C219; C240; C316; C317; C318; C319; C340</x:v>
      </x:c>
      <x:c r="N6" s="32" t="str">
        <x:v>0603</x:v>
      </x:c>
      <x:c r="O6" s="31" t="str">
        <x:v>SELECTED_CATALOG_ITEM</x:v>
      </x:c>
      <x:c r="P6" s="31" t="str">
        <x:v>Оценочный резерв — прайс отсутствует</x:v>
      </x:c>
      <x:c r="Q6" s="31" t="str">
        <x:v>https://www.lcsc.com/product-detail/C1615.html</x:v>
      </x:c>
      <x:c r="R6" s="31" t="str"/>
    </x:row>
    <x:row r="7" ht="42" customHeight="1">
      <x:c r="A7" s="9" t="str">
        <x:v>1040310811</x:v>
      </x:c>
      <x:c r="B7" s="10" t="n">
        <x:v>1</x:v>
      </x:c>
      <x:c r="C7" s="13" t="n">
        <x:v>2</x:v>
      </x:c>
      <x:c r="D7" s="22"/>
      <x:c r="E7" s="16" t="n">
        <x:v>4</x:v>
      </x:c>
      <x:c r="F7" s="20" t="n">
        <x:f>ROUND(IF(ISNUMBER(D7),C7*D7,0)+E7+1E-9,2)</x:f>
        <x:v>4</x:v>
      </x:c>
      <x:c r="G7" s="13" t="n">
        <x:v>11</x:v>
      </x:c>
      <x:c r="H7" s="22"/>
      <x:c r="I7" s="16" t="n">
        <x:v>22</x:v>
      </x:c>
      <x:c r="J7" s="20" t="n">
        <x:f>ROUND(IF(ISNUMBER(H7),G7*H7,0)+I7+1E-9,2)</x:f>
        <x:v>22</x:v>
      </x:c>
      <x:c r="K7" s="10" t="str">
        <x:v>NO_PRICE</x:v>
      </x:c>
      <x:c r="L7" s="12" t="str">
        <x:v>Molex</x:v>
      </x:c>
      <x:c r="M7" s="33" t="str">
        <x:v>J1502</x:v>
      </x:c>
      <x:c r="N7" s="34" t="str">
        <x:v>microSD_HC_Molex_104031-0811</x:v>
      </x:c>
      <x:c r="O7" s="33" t="str">
        <x:v>REFERENCE_MPN_RETAINED</x:v>
      </x:c>
      <x:c r="P7" s="33" t="str">
        <x:v>Оценочный резерв — прайс отсутствует</x:v>
      </x:c>
      <x:c r="Q7" s="33" t="str">
        <x:v>https://www.molex.com/en-us/products/part-detail/1040310811</x:v>
      </x:c>
      <x:c r="R7" s="33" t="str">
        <x:v>Existing schematic MPN retained. Complete circuit rating/temperature and package signoff is still required.</x:v>
      </x:c>
    </x:row>
    <x:row r="8" ht="42" customHeight="1">
      <x:c r="A8" s="9" t="str">
        <x:v>1050170001</x:v>
      </x:c>
      <x:c r="B8" s="10" t="n">
        <x:v>1</x:v>
      </x:c>
      <x:c r="C8" s="13" t="n">
        <x:v>2</x:v>
      </x:c>
      <x:c r="D8" s="22"/>
      <x:c r="E8" s="16" t="n">
        <x:v>4</x:v>
      </x:c>
      <x:c r="F8" s="20" t="n">
        <x:f>ROUND(IF(ISNUMBER(D8),C8*D8,0)+E8+1E-9,2)</x:f>
        <x:v>4</x:v>
      </x:c>
      <x:c r="G8" s="13" t="n">
        <x:v>11</x:v>
      </x:c>
      <x:c r="H8" s="22"/>
      <x:c r="I8" s="16" t="n">
        <x:v>22</x:v>
      </x:c>
      <x:c r="J8" s="20" t="n">
        <x:f>ROUND(IF(ISNUMBER(H8),G8*H8,0)+I8+1E-9,2)</x:f>
        <x:v>22</x:v>
      </x:c>
      <x:c r="K8" s="10" t="str">
        <x:v>NO_PRICE</x:v>
      </x:c>
      <x:c r="L8" s="2" t="str">
        <x:v>Molex</x:v>
      </x:c>
      <x:c r="M8" s="31" t="str">
        <x:v>J1501</x:v>
      </x:c>
      <x:c r="N8" s="32" t="str">
        <x:v>USB_Micro-B_Molex-105017-0001</x:v>
      </x:c>
      <x:c r="O8" s="31" t="str">
        <x:v>REFERENCE_MPN_RETAINED</x:v>
      </x:c>
      <x:c r="P8" s="31" t="str">
        <x:v>Оценочный резерв — прайс отсутствует</x:v>
      </x:c>
      <x:c r="Q8" s="31" t="str">
        <x:v>https://www.molex.com/en-us/products/part-detail/1050170001</x:v>
      </x:c>
      <x:c r="R8" s="31" t="str">
        <x:v>Existing schematic MPN retained. Complete circuit rating/temperature and package signoff is still required.</x:v>
      </x:c>
    </x:row>
    <x:row r="9" ht="42" customHeight="1">
      <x:c r="A9" s="9" t="str">
        <x:v>2N7002,215</x:v>
      </x:c>
      <x:c r="B9" s="10" t="n">
        <x:v>1</x:v>
      </x:c>
      <x:c r="C9" s="13" t="n">
        <x:v>2</x:v>
      </x:c>
      <x:c r="D9" s="22"/>
      <x:c r="E9" s="16" t="n">
        <x:v>3</x:v>
      </x:c>
      <x:c r="F9" s="20" t="n">
        <x:f>ROUND(IF(ISNUMBER(D9),C9*D9,0)+E9+1E-9,2)</x:f>
        <x:v>3</x:v>
      </x:c>
      <x:c r="G9" s="13" t="n">
        <x:v>11</x:v>
      </x:c>
      <x:c r="H9" s="22"/>
      <x:c r="I9" s="16" t="n">
        <x:v>16.5</x:v>
      </x:c>
      <x:c r="J9" s="20" t="n">
        <x:f>ROUND(IF(ISNUMBER(H9),G9*H9,0)+I9+1E-9,2)</x:f>
        <x:v>16.5</x:v>
      </x:c>
      <x:c r="K9" s="10" t="str">
        <x:v>NO_PRICE</x:v>
      </x:c>
      <x:c r="L9" s="12" t="str">
        <x:v>Nexperia</x:v>
      </x:c>
      <x:c r="M9" s="33" t="str">
        <x:v>Q1510</x:v>
      </x:c>
      <x:c r="N9" s="34" t="str">
        <x:v>SOT-23</x:v>
      </x:c>
      <x:c r="O9" s="33" t="str">
        <x:v>REFERENCE_MPN_RETAINED</x:v>
      </x:c>
      <x:c r="P9" s="33" t="str">
        <x:v>Оценочный резерв — прайс отсутствует</x:v>
      </x:c>
      <x:c r="Q9" s="33" t="str">
        <x:v>https://www.nexperia.com/product/2N7002</x:v>
      </x:c>
      <x:c r="R9" s="33" t="str">
        <x:v>Existing schematic MPN retained. Complete circuit rating/temperature and package signoff is still required.</x:v>
      </x:c>
    </x:row>
    <x:row r="10" ht="42" customHeight="1">
      <x:c r="A10" s="8" t="str">
        <x:v>6437288-1</x:v>
      </x:c>
      <x:c r="B10" s="2" t="n">
        <x:v>4</x:v>
      </x:c>
      <x:c r="C10" s="14" t="n">
        <x:v>5</x:v>
      </x:c>
      <x:c r="D10" s="23" t="n">
        <x:v>17.2</x:v>
      </x:c>
      <x:c r="E10" s="17" t="n">
        <x:v>0</x:v>
      </x:c>
      <x:c r="F10" s="19" t="n">
        <x:f>ROUND(IF(ISNUMBER(D10),C10*D10,0)+E10+1E-9,2)</x:f>
        <x:v>86</x:v>
      </x:c>
      <x:c r="G10" s="14" t="n">
        <x:v>42</x:v>
      </x:c>
      <x:c r="H10" s="23" t="n">
        <x:v>14.27571</x:v>
      </x:c>
      <x:c r="I10" s="17" t="n">
        <x:v>0</x:v>
      </x:c>
      <x:c r="J10" s="19" t="n">
        <x:f>ROUND(IF(ISNUMBER(H10),G10*H10,0)+I10+1E-9,2)</x:f>
        <x:v>599.58</x:v>
      </x:c>
      <x:c r="K10" s="2" t="str">
        <x:v>CATALOG_PRICE</x:v>
      </x:c>
      <x:c r="L10" s="2" t="str">
        <x:v>TE Connectivity</x:v>
      </x:c>
      <x:c r="M10" s="31" t="str">
        <x:v>J601; J602; J603; J604</x:v>
      </x:c>
      <x:c r="N10" s="32" t="str">
        <x:v>TE_6437288-1_34way</x:v>
      </x:c>
      <x:c r="O10" s="31" t="str">
        <x:v>REFERENCE_MPN_RETAINED</x:v>
      </x:c>
      <x:c r="P10" s="31" t="str">
        <x:v>https://www.digikey.com/en/products/detail/te-connectivity-amp-connectors/6437288-1/5428601</x:v>
      </x:c>
      <x:c r="Q10" s="31" t="str">
        <x:v>https://www.te.com/en/product-6437288-1.html</x:v>
      </x:c>
      <x:c r="R10" s="31" t="str">
        <x:v>Existing schematic MPN retained. Complete circuit rating/temperature and package signoff is still required.</x:v>
      </x:c>
    </x:row>
    <x:row r="11" ht="42" customHeight="1">
      <x:c r="A11" s="11" t="str">
        <x:v>AD8628ARTZ-REEL7</x:v>
      </x:c>
      <x:c r="B11" s="12" t="n">
        <x:v>1</x:v>
      </x:c>
      <x:c r="C11" s="15" t="n">
        <x:v>2</x:v>
      </x:c>
      <x:c r="D11" s="24" t="n">
        <x:v>4.92</x:v>
      </x:c>
      <x:c r="E11" s="18" t="n">
        <x:v>0</x:v>
      </x:c>
      <x:c r="F11" s="21" t="n">
        <x:f>ROUND(IF(ISNUMBER(D11),C11*D11,0)+E11+1E-9,2)</x:f>
        <x:v>9.84</x:v>
      </x:c>
      <x:c r="G11" s="15" t="n">
        <x:v>11</x:v>
      </x:c>
      <x:c r="H11" s="24" t="n">
        <x:v>4.92</x:v>
      </x:c>
      <x:c r="I11" s="18" t="n">
        <x:v>0</x:v>
      </x:c>
      <x:c r="J11" s="21" t="n">
        <x:f>ROUND(IF(ISNUMBER(H11),G11*H11,0)+I11+1E-9,2)</x:f>
        <x:v>54.12</x:v>
      </x:c>
      <x:c r="K11" s="12" t="str">
        <x:v>CATALOG_PRICE</x:v>
      </x:c>
      <x:c r="L11" s="12" t="str">
        <x:v>Analog Devices</x:v>
      </x:c>
      <x:c r="M11" s="33" t="str">
        <x:v>U5601</x:v>
      </x:c>
      <x:c r="N11" s="34" t="str">
        <x:v>TSOT-23-5</x:v>
      </x:c>
      <x:c r="O11" s="33" t="str">
        <x:v>REFERENCE_MPN_RETAINED</x:v>
      </x:c>
      <x:c r="P11" s="33" t="str">
        <x:v>https://www.newark.com/analog-devices/ad8628artz-reel7/op-amp-1-ch-2-5mhz-1v-s/dp/60AK7689</x:v>
      </x:c>
      <x:c r="Q11" s="33" t="str">
        <x:v>https://www.analog.com/en/search.html?q=AD8628ARTZ-REEL7</x:v>
      </x:c>
      <x:c r="R11" s="33" t="str">
        <x:v>Existing schematic MPN retained. Complete circuit rating/temperature and package signoff is still required.</x:v>
      </x:c>
    </x:row>
    <x:row r="12" ht="42" customHeight="1">
      <x:c r="A12" s="9" t="str">
        <x:v>APT1608QBC/D</x:v>
      </x:c>
      <x:c r="B12" s="10" t="n">
        <x:v>1</x:v>
      </x:c>
      <x:c r="C12" s="13" t="n">
        <x:v>2</x:v>
      </x:c>
      <x:c r="D12" s="22"/>
      <x:c r="E12" s="16" t="n">
        <x:v>0.4</x:v>
      </x:c>
      <x:c r="F12" s="20" t="n">
        <x:f>ROUND(IF(ISNUMBER(D12),C12*D12,0)+E12+1E-9,2)</x:f>
        <x:v>0.4</x:v>
      </x:c>
      <x:c r="G12" s="13" t="n">
        <x:v>11</x:v>
      </x:c>
      <x:c r="H12" s="22"/>
      <x:c r="I12" s="16" t="n">
        <x:v>2.2</x:v>
      </x:c>
      <x:c r="J12" s="20" t="n">
        <x:f>ROUND(IF(ISNUMBER(H12),G12*H12,0)+I12+1E-9,2)</x:f>
        <x:v>2.2</x:v>
      </x:c>
      <x:c r="K12" s="10" t="str">
        <x:v>NO_PRICE</x:v>
      </x:c>
      <x:c r="L12" s="2" t="str">
        <x:v>Kingbright</x:v>
      </x:c>
      <x:c r="M12" s="31" t="str">
        <x:v>D5602</x:v>
      </x:c>
      <x:c r="N12" s="32" t="str">
        <x:v>0603</x:v>
      </x:c>
      <x:c r="O12" s="31" t="str">
        <x:v>SELECTED_CONDITIONAL</x:v>
      </x:c>
      <x:c r="P12" s="31" t="str">
        <x:v>Оценочный резерв — прайс отсутствует</x:v>
      </x:c>
      <x:c r="Q12" s="31" t="str">
        <x:v>https://www.digikey.com/en/products/detail/kingbright/APT1608QBC-D/2163697</x:v>
      </x:c>
      <x:c r="R12" s="31" t="str">
        <x:v>20mA is catalog test current, not a configured operating current. Verify resistor/current and polarity; blue LED headroom may be limited on3.3V.</x:v>
      </x:c>
    </x:row>
    <x:row r="13" ht="42" customHeight="1">
      <x:c r="A13" s="9" t="str">
        <x:v>APT1608SGC</x:v>
      </x:c>
      <x:c r="B13" s="10" t="n">
        <x:v>1</x:v>
      </x:c>
      <x:c r="C13" s="13" t="n">
        <x:v>2</x:v>
      </x:c>
      <x:c r="D13" s="22"/>
      <x:c r="E13" s="16" t="n">
        <x:v>0.4</x:v>
      </x:c>
      <x:c r="F13" s="20" t="n">
        <x:f>ROUND(IF(ISNUMBER(D13),C13*D13,0)+E13+1E-9,2)</x:f>
        <x:v>0.4</x:v>
      </x:c>
      <x:c r="G13" s="13" t="n">
        <x:v>11</x:v>
      </x:c>
      <x:c r="H13" s="22"/>
      <x:c r="I13" s="16" t="n">
        <x:v>2.2</x:v>
      </x:c>
      <x:c r="J13" s="20" t="n">
        <x:f>ROUND(IF(ISNUMBER(H13),G13*H13,0)+I13+1E-9,2)</x:f>
        <x:v>2.2</x:v>
      </x:c>
      <x:c r="K13" s="10" t="str">
        <x:v>NO_PRICE</x:v>
      </x:c>
      <x:c r="L13" s="12" t="str">
        <x:v>Kingbright</x:v>
      </x:c>
      <x:c r="M13" s="33" t="str">
        <x:v>D5601</x:v>
      </x:c>
      <x:c r="N13" s="34" t="str">
        <x:v>0603</x:v>
      </x:c>
      <x:c r="O13" s="33" t="str">
        <x:v>SELECTED_CONDITIONAL</x:v>
      </x:c>
      <x:c r="P13" s="33" t="str">
        <x:v>Оценочный резерв — прайс отсутствует</x:v>
      </x:c>
      <x:c r="Q13" s="33" t="str">
        <x:v>https://www.digikey.com/en/products/detail/kingbright/APT1608SGC/1747519</x:v>
      </x:c>
      <x:c r="R13" s="33" t="str">
        <x:v>20mA is catalog test current, not a configured operating current. Verify resistor/current and polarity; blue LED headroom may be limited on3.3V.</x:v>
      </x:c>
    </x:row>
    <x:row r="14" ht="42" customHeight="1">
      <x:c r="A14" s="9" t="str">
        <x:v>APT1608SURCK</x:v>
      </x:c>
      <x:c r="B14" s="10" t="n">
        <x:v>2</x:v>
      </x:c>
      <x:c r="C14" s="13" t="n">
        <x:v>3</x:v>
      </x:c>
      <x:c r="D14" s="22"/>
      <x:c r="E14" s="16" t="n">
        <x:v>0.6</x:v>
      </x:c>
      <x:c r="F14" s="20" t="n">
        <x:f>ROUND(IF(ISNUMBER(D14),C14*D14,0)+E14+1E-9,2)</x:f>
        <x:v>0.6</x:v>
      </x:c>
      <x:c r="G14" s="13" t="n">
        <x:v>22</x:v>
      </x:c>
      <x:c r="H14" s="22"/>
      <x:c r="I14" s="16" t="n">
        <x:v>4.4</x:v>
      </x:c>
      <x:c r="J14" s="20" t="n">
        <x:f>ROUND(IF(ISNUMBER(H14),G14*H14,0)+I14+1E-9,2)</x:f>
        <x:v>4.4</x:v>
      </x:c>
      <x:c r="K14" s="10" t="str">
        <x:v>NO_PRICE</x:v>
      </x:c>
      <x:c r="L14" s="2" t="str">
        <x:v>Kingbright</x:v>
      </x:c>
      <x:c r="M14" s="31" t="str">
        <x:v>D5600; D5603</x:v>
      </x:c>
      <x:c r="N14" s="32" t="str">
        <x:v>0603</x:v>
      </x:c>
      <x:c r="O14" s="31" t="str">
        <x:v>SELECTED_CONDITIONAL</x:v>
      </x:c>
      <x:c r="P14" s="31" t="str">
        <x:v>Оценочный резерв — прайс отсутствует</x:v>
      </x:c>
      <x:c r="Q14" s="31" t="str">
        <x:v>https://www.kingbrightusa.com/product.asp?catalog_name=LED&amp;product_id=APT1608SURCK</x:v>
      </x:c>
      <x:c r="R14" s="31" t="str">
        <x:v>20mA is catalog test current, not a configured operating current. Verify resistor/current and polarity; blue LED headroom may be limited on3.3V.</x:v>
      </x:c>
    </x:row>
    <x:row r="15" ht="42" customHeight="1">
      <x:c r="A15" s="9" t="str">
        <x:v>ASEM1-8.000MHZ-LC-T</x:v>
      </x:c>
      <x:c r="B15" s="10" t="n">
        <x:v>2</x:v>
      </x:c>
      <x:c r="C15" s="13" t="n">
        <x:v>3</x:v>
      </x:c>
      <x:c r="D15" s="22"/>
      <x:c r="E15" s="16" t="n">
        <x:v>6</x:v>
      </x:c>
      <x:c r="F15" s="20" t="n">
        <x:f>ROUND(IF(ISNUMBER(D15),C15*D15,0)+E15+1E-9,2)</x:f>
        <x:v>6</x:v>
      </x:c>
      <x:c r="G15" s="13" t="n">
        <x:v>22</x:v>
      </x:c>
      <x:c r="H15" s="22"/>
      <x:c r="I15" s="16" t="n">
        <x:v>44</x:v>
      </x:c>
      <x:c r="J15" s="20" t="n">
        <x:f>ROUND(IF(ISNUMBER(H15),G15*H15,0)+I15+1E-9,2)</x:f>
        <x:v>44</x:v>
      </x:c>
      <x:c r="K15" s="10" t="str">
        <x:v>NO_PRICE</x:v>
      </x:c>
      <x:c r="L15" s="12" t="str">
        <x:v>Abracon</x:v>
      </x:c>
      <x:c r="M15" s="33" t="str">
        <x:v>Y101; Y1701</x:v>
      </x:c>
      <x:c r="N15" s="34" t="str">
        <x:v>ASEM_3225</x:v>
      </x:c>
      <x:c r="O15" s="33" t="str">
        <x:v>REFERENCE_MPN_RETAINED</x:v>
      </x:c>
      <x:c r="P15" s="33" t="str">
        <x:v>Оценочный резерв — прайс отсутствует</x:v>
      </x:c>
      <x:c r="Q15" s="33" t="str">
        <x:v>https://abracon.com/Oscillators/ASEM.pdf</x:v>
      </x:c>
      <x:c r="R15" s="33" t="str">
        <x:v>Existing schematic MPN retained. Complete circuit rating/temperature and package signoff is still required.</x:v>
      </x:c>
    </x:row>
    <x:row r="16" ht="42" customHeight="1">
      <x:c r="A16" s="9" t="str">
        <x:v>BAS21,215</x:v>
      </x:c>
      <x:c r="B16" s="10" t="n">
        <x:v>2</x:v>
      </x:c>
      <x:c r="C16" s="13" t="n">
        <x:v>3</x:v>
      </x:c>
      <x:c r="D16" s="22"/>
      <x:c r="E16" s="16" t="n">
        <x:v>0.9</x:v>
      </x:c>
      <x:c r="F16" s="20" t="n">
        <x:f>ROUND(IF(ISNUMBER(D16),C16*D16,0)+E16+1E-9,2)</x:f>
        <x:v>0.9</x:v>
      </x:c>
      <x:c r="G16" s="13" t="n">
        <x:v>22</x:v>
      </x:c>
      <x:c r="H16" s="22"/>
      <x:c r="I16" s="16" t="n">
        <x:v>6.6</x:v>
      </x:c>
      <x:c r="J16" s="20" t="n">
        <x:f>ROUND(IF(ISNUMBER(H16),G16*H16,0)+I16+1E-9,2)</x:f>
        <x:v>6.6</x:v>
      </x:c>
      <x:c r="K16" s="10" t="str">
        <x:v>NO_PRICE</x:v>
      </x:c>
      <x:c r="L16" s="2" t="str">
        <x:v>Nexperia</x:v>
      </x:c>
      <x:c r="M16" s="31" t="str">
        <x:v>D102; D1502</x:v>
      </x:c>
      <x:c r="N16" s="32" t="str">
        <x:v>SOT-23</x:v>
      </x:c>
      <x:c r="O16" s="31" t="str">
        <x:v>REFERENCE_MPN_RETAINED</x:v>
      </x:c>
      <x:c r="P16" s="31" t="str">
        <x:v>Оценочный резерв — прайс отсутствует</x:v>
      </x:c>
      <x:c r="Q16" s="31" t="str">
        <x:v>https://www.nexperia.com/product/BAS21</x:v>
      </x:c>
      <x:c r="R16" s="31" t="str">
        <x:v>Existing schematic MPN retained. Complete circuit rating/temperature and package signoff is still required.</x:v>
      </x:c>
    </x:row>
    <x:row r="17" ht="42" customHeight="1">
      <x:c r="A17" s="11" t="str">
        <x:v>BAT54S,215</x:v>
      </x:c>
      <x:c r="B17" s="12" t="n">
        <x:v>30</x:v>
      </x:c>
      <x:c r="C17" s="15" t="n">
        <x:v>33</x:v>
      </x:c>
      <x:c r="D17" s="24" t="n">
        <x:v>0.087</x:v>
      </x:c>
      <x:c r="E17" s="18" t="n">
        <x:v>0</x:v>
      </x:c>
      <x:c r="F17" s="21" t="n">
        <x:f>ROUND(IF(ISNUMBER(D17),C17*D17,0)+E17+1E-9,2)</x:f>
        <x:v>2.87</x:v>
      </x:c>
      <x:c r="G17" s="15" t="n">
        <x:v>330</x:v>
      </x:c>
      <x:c r="H17" s="24" t="n">
        <x:v>0.0537</x:v>
      </x:c>
      <x:c r="I17" s="18" t="n">
        <x:v>0</x:v>
      </x:c>
      <x:c r="J17" s="21" t="n">
        <x:f>ROUND(IF(ISNUMBER(H17),G17*H17,0)+I17+1E-9,2)</x:f>
        <x:v>17.72</x:v>
      </x:c>
      <x:c r="K17" s="12" t="str">
        <x:v>CATALOG_PRICE</x:v>
      </x:c>
      <x:c r="L17" s="12" t="str">
        <x:v>Nexperia</x:v>
      </x:c>
      <x:c r="M17" s="33" t="str">
        <x:v>D1600; D1601; D1602; D1603; D1604; D701; D702; D703; D704; D705; D706; D707; D708; D709; D710; D711; D712; D713; D714; D715; D716; D717; D730; D731; D732; D733; D734; D735; D736; D737</x:v>
      </x:c>
      <x:c r="N17" s="34" t="str">
        <x:v>SOT-23</x:v>
      </x:c>
      <x:c r="O17" s="33" t="str">
        <x:v>REFERENCE_MPN_RETAINED</x:v>
      </x:c>
      <x:c r="P17" s="33" t="str">
        <x:v>https://www.digikey.com/en/products/detail/nexperia-usa-inc/BAT54S-215/763441</x:v>
      </x:c>
      <x:c r="Q17" s="33" t="str">
        <x:v>https://www.nexperia.com/product/BAT54S</x:v>
      </x:c>
      <x:c r="R17" s="33" t="str">
        <x:v>Existing schematic MPN retained. Complete circuit rating/temperature and package signoff is still required.</x:v>
      </x:c>
    </x:row>
    <x:row r="18" ht="42" customHeight="1">
      <x:c r="A18" s="9" t="str">
        <x:v>BC847B-QR</x:v>
      </x:c>
      <x:c r="B18" s="10" t="n">
        <x:v>1</x:v>
      </x:c>
      <x:c r="C18" s="13" t="n">
        <x:v>2</x:v>
      </x:c>
      <x:c r="D18" s="22"/>
      <x:c r="E18" s="16" t="n">
        <x:v>3</x:v>
      </x:c>
      <x:c r="F18" s="20" t="n">
        <x:f>ROUND(IF(ISNUMBER(D18),C18*D18,0)+E18+1E-9,2)</x:f>
        <x:v>3</x:v>
      </x:c>
      <x:c r="G18" s="13" t="n">
        <x:v>11</x:v>
      </x:c>
      <x:c r="H18" s="22"/>
      <x:c r="I18" s="16" t="n">
        <x:v>16.5</x:v>
      </x:c>
      <x:c r="J18" s="20" t="n">
        <x:f>ROUND(IF(ISNUMBER(H18),G18*H18,0)+I18+1E-9,2)</x:f>
        <x:v>16.5</x:v>
      </x:c>
      <x:c r="K18" s="10" t="str">
        <x:v>NO_PRICE</x:v>
      </x:c>
      <x:c r="L18" s="2" t="str">
        <x:v>Nexperia</x:v>
      </x:c>
      <x:c r="M18" s="31" t="str">
        <x:v>Q5620</x:v>
      </x:c>
      <x:c r="N18" s="32" t="str">
        <x:v>SOT-23</x:v>
      </x:c>
      <x:c r="O18" s="31" t="str">
        <x:v>REFERENCE_MPN_RETAINED</x:v>
      </x:c>
      <x:c r="P18" s="31" t="str">
        <x:v>Оценочный резерв — прайс отсутствует</x:v>
      </x:c>
      <x:c r="Q18" s="31" t="str">
        <x:v>https://www.nexperia.com/product/BC847B-QR</x:v>
      </x:c>
      <x:c r="R18" s="31" t="str">
        <x:v>Existing schematic MPN retained. Complete circuit rating/temperature and package signoff is still required.</x:v>
      </x:c>
    </x:row>
    <x:row r="19" ht="42" customHeight="1">
      <x:c r="A19" s="9" t="str">
        <x:v>BCIHP1770-100M</x:v>
      </x:c>
      <x:c r="B19" s="10" t="n">
        <x:v>2</x:v>
      </x:c>
      <x:c r="C19" s="13" t="n">
        <x:v>3</x:v>
      </x:c>
      <x:c r="D19" s="22"/>
      <x:c r="E19" s="16" t="n">
        <x:v>27</x:v>
      </x:c>
      <x:c r="F19" s="20" t="n">
        <x:f>ROUND(IF(ISNUMBER(D19),C19*D19,0)+E19+1E-9,2)</x:f>
        <x:v>27</x:v>
      </x:c>
      <x:c r="G19" s="13" t="n">
        <x:v>22</x:v>
      </x:c>
      <x:c r="H19" s="22"/>
      <x:c r="I19" s="16" t="n">
        <x:v>198</x:v>
      </x:c>
      <x:c r="J19" s="20" t="n">
        <x:f>ROUND(IF(ISNUMBER(H19),G19*H19,0)+I19+1E-9,2)</x:f>
        <x:v>198</x:v>
      </x:c>
      <x:c r="K19" s="10" t="str">
        <x:v>NO_PRICE</x:v>
      </x:c>
      <x:c r="L19" s="12" t="str">
        <x:v>BaoCheng</x:v>
      </x:c>
      <x:c r="M19" s="33" t="str">
        <x:v>L202; L302</x:v>
      </x:c>
      <x:c r="N19" s="34" t="str">
        <x:v>L_Vishay_IHLP-6767</x:v>
      </x:c>
      <x:c r="O19" s="33" t="str">
        <x:v>SELECTED_CONDITIONAL</x:v>
      </x:c>
      <x:c r="P19" s="33" t="str">
        <x:v>Оценочный резерв — прайс отсутствует</x:v>
      </x:c>
      <x:c r="Q19" s="33" t="str">
        <x:v>https://www.lcsc.com/pt/product-detail/C237980.html</x:v>
      </x:c>
      <x:c r="R19" s="33" t="str">
        <x:v>Original vendor identity recovered. Saturation definition, guaranteed minimum, temperature rise, pad/height compatibility need manufacturer drawing and magnetic bench review.</x:v>
      </x:c>
    </x:row>
    <x:row r="20" ht="42" customHeight="1">
      <x:c r="A20" s="9" t="str">
        <x:v>C0603C102J1GACTU</x:v>
      </x:c>
      <x:c r="B20" s="10" t="n">
        <x:v>45</x:v>
      </x:c>
      <x:c r="C20" s="13" t="n">
        <x:v>65</x:v>
      </x:c>
      <x:c r="D20" s="22"/>
      <x:c r="E20" s="16" t="n">
        <x:v>11.7</x:v>
      </x:c>
      <x:c r="F20" s="20" t="n">
        <x:f>ROUND(IF(ISNUMBER(D20),C20*D20,0)+E20+1E-9,2)</x:f>
        <x:v>11.7</x:v>
      </x:c>
      <x:c r="G20" s="13" t="n">
        <x:v>495</x:v>
      </x:c>
      <x:c r="H20" s="22"/>
      <x:c r="I20" s="16" t="n">
        <x:v>89.1</x:v>
      </x:c>
      <x:c r="J20" s="20" t="n">
        <x:f>ROUND(IF(ISNUMBER(H20),G20*H20,0)+I20+1E-9,2)</x:f>
        <x:v>89.1</x:v>
      </x:c>
      <x:c r="K20" s="10" t="str">
        <x:v>NO_PRICE</x:v>
      </x:c>
      <x:c r="L20" s="2" t="str">
        <x:v>KEMET</x:v>
      </x:c>
      <x:c r="M20" s="31" t="str">
        <x:v>C132; C1505; C228; C229; C230; C231; C232; C233; C234; C238; C239; C243; C252; C254; C328; C329; C330; C331; C332; C333; C334; C338; C339; C343; C352; C354; C700; C702; C704; C706; C708; C710; C712; C714; C716; C718; C720; C722; C724; C726; C728; C730; C732; C760; C808</x:v>
      </x:c>
      <x:c r="N20" s="32" t="str">
        <x:v>0603</x:v>
      </x:c>
      <x:c r="O20" s="31" t="str">
        <x:v>SELECTED_CATALOG_ITEM</x:v>
      </x:c>
      <x:c r="P20" s="31" t="str">
        <x:v>Оценочный резерв — прайс отсутствует</x:v>
      </x:c>
      <x:c r="Q20" s="31" t="str">
        <x:v>https://search.kemet.com/download/specsheet/C0603C102J1GACTU</x:v>
      </x:c>
      <x:c r="R20" s="31" t="str"/>
    </x:row>
    <x:row r="21" ht="42" customHeight="1">
      <x:c r="A21" s="9" t="str">
        <x:v>C0603C102K5RACTU</x:v>
      </x:c>
      <x:c r="B21" s="10" t="n">
        <x:v>1</x:v>
      </x:c>
      <x:c r="C21" s="13" t="n">
        <x:v>21</x:v>
      </x:c>
      <x:c r="D21" s="22"/>
      <x:c r="E21" s="16" t="n">
        <x:v>3.78</x:v>
      </x:c>
      <x:c r="F21" s="20" t="n">
        <x:f>ROUND(IF(ISNUMBER(D21),C21*D21,0)+E21+1E-9,2)</x:f>
        <x:v>3.78</x:v>
      </x:c>
      <x:c r="G21" s="13" t="n">
        <x:v>30</x:v>
      </x:c>
      <x:c r="H21" s="22"/>
      <x:c r="I21" s="16" t="n">
        <x:v>5.4</x:v>
      </x:c>
      <x:c r="J21" s="20" t="n">
        <x:f>ROUND(IF(ISNUMBER(H21),G21*H21,0)+I21+1E-9,2)</x:f>
        <x:v>5.4</x:v>
      </x:c>
      <x:c r="K21" s="10" t="str">
        <x:v>NO_PRICE</x:v>
      </x:c>
      <x:c r="L21" s="12" t="str">
        <x:v>KEMET</x:v>
      </x:c>
      <x:c r="M21" s="33" t="str">
        <x:v>C1522</x:v>
      </x:c>
      <x:c r="N21" s="34" t="str">
        <x:v>0603</x:v>
      </x:c>
      <x:c r="O21" s="33" t="str">
        <x:v>SELECTED_CATALOG_ITEM</x:v>
      </x:c>
      <x:c r="P21" s="33" t="str">
        <x:v>Оценочный резерв — прайс отсутствует</x:v>
      </x:c>
      <x:c r="Q21" s="33" t="str">
        <x:v>https://www.digikey.com/en/products/detail/kemet/C0603C102K5RACTU/411357</x:v>
      </x:c>
      <x:c r="R21" s="33" t="str"/>
    </x:row>
    <x:row r="22" ht="42" customHeight="1">
      <x:c r="A22" s="9" t="str">
        <x:v>C0603C103K5RACTU</x:v>
      </x:c>
      <x:c r="B22" s="10" t="n">
        <x:v>18</x:v>
      </x:c>
      <x:c r="C22" s="13" t="n">
        <x:v>38</x:v>
      </x:c>
      <x:c r="D22" s="22"/>
      <x:c r="E22" s="16" t="n">
        <x:v>6.84</x:v>
      </x:c>
      <x:c r="F22" s="20" t="n">
        <x:f>ROUND(IF(ISNUMBER(D22),C22*D22,0)+E22+1E-9,2)</x:f>
        <x:v>6.84</x:v>
      </x:c>
      <x:c r="G22" s="13" t="n">
        <x:v>200</x:v>
      </x:c>
      <x:c r="H22" s="22"/>
      <x:c r="I22" s="16" t="n">
        <x:v>36</x:v>
      </x:c>
      <x:c r="J22" s="20" t="n">
        <x:f>ROUND(IF(ISNUMBER(H22),G22*H22,0)+I22+1E-9,2)</x:f>
        <x:v>36</x:v>
      </x:c>
      <x:c r="K22" s="10" t="str">
        <x:v>NO_PRICE</x:v>
      </x:c>
      <x:c r="L22" s="2" t="str">
        <x:v>KEMET</x:v>
      </x:c>
      <x:c r="M22" s="31" t="str">
        <x:v>C129; C701; C703; C705; C707; C709; C711; C713; C715; C717; C719; C721; C723; C725; C727; C729; C731; C733</x:v>
      </x:c>
      <x:c r="N22" s="32" t="str">
        <x:v>0603</x:v>
      </x:c>
      <x:c r="O22" s="31" t="str">
        <x:v>SELECTED_CATALOG_ITEM</x:v>
      </x:c>
      <x:c r="P22" s="31" t="str">
        <x:v>Оценочный резерв — прайс отсутствует</x:v>
      </x:c>
      <x:c r="Q22" s="31" t="str">
        <x:v>https://www.digikey.com/en/products/detail/kemet/C0603C103K5RACTU/411090</x:v>
      </x:c>
      <x:c r="R22" s="31" t="str"/>
    </x:row>
    <x:row r="23" ht="42" customHeight="1">
      <x:c r="A23" s="11" t="str">
        <x:v>C0603C104K5RACTU</x:v>
      </x:c>
      <x:c r="B23" s="12" t="n">
        <x:v>118</x:v>
      </x:c>
      <x:c r="C23" s="15" t="n">
        <x:v>138</x:v>
      </x:c>
      <x:c r="D23" s="24" t="n">
        <x:v>0.0413</x:v>
      </x:c>
      <x:c r="E23" s="18" t="n">
        <x:v>0</x:v>
      </x:c>
      <x:c r="F23" s="21" t="n">
        <x:f>ROUND(IF(ISNUMBER(D23),C23*D23,0)+E23+1E-9,2)</x:f>
        <x:v>5.7</x:v>
      </x:c>
      <x:c r="G23" s="15" t="n">
        <x:v>1298</x:v>
      </x:c>
      <x:c r="H23" s="24" t="n">
        <x:v>0.03018</x:v>
      </x:c>
      <x:c r="I23" s="18" t="n">
        <x:v>0</x:v>
      </x:c>
      <x:c r="J23" s="21" t="n">
        <x:f>ROUND(IF(ISNUMBER(H23),G23*H23,0)+I23+1E-9,2)</x:f>
        <x:v>39.17</x:v>
      </x:c>
      <x:c r="K23" s="12" t="str">
        <x:v>CATALOG_PRICE</x:v>
      </x:c>
      <x:c r="L23" s="12" t="str">
        <x:v>KEMET</x:v>
      </x:c>
      <x:c r="M23" s="33" t="str">
        <x:v>C101; C102; C103; C104; C105; C106; C107; C108; C109; C110; C1101; C1102; C1103; C111; C112; C1121; C1122; C1123; C113; C1141; C1142; C1143; C1161; C1162; C1163; C117; C1181; C1182; C1183; C119; C1201; C1202; C1203; C121; C123; C124; C1241; C127; C128; C130; C1501; C1502; C1503; C1510; C1520; C1531; C1532; C1534; C1536; C1537; C1539; C1610; C1702; C1703; C1704; C1705; C1706; C210; C213; C214; C215; C235; C310; C313; C314; C315; C335; C5400; C5401; C5402; C5404; C5406; C5420; C5421; C5422; C5440; C5441; C5442; C5460; C5461; C5462; C5480; C5481; C5482; C5500; C5501; C5502; C5520; C5521; C5522; C5601; C5602; C5605; C5608; C5612; C5613; C5614; C5615; C5617; C5618; C5640; C5641; C5660; C5663; C5664; C740; C742; C744; C746; C748; C758; C759; C761; C801; C802; C803; C804; C807</x:v>
      </x:c>
      <x:c r="N23" s="34" t="str">
        <x:v>0603</x:v>
      </x:c>
      <x:c r="O23" s="33" t="str">
        <x:v>SELECTED_CATALOG_ITEM</x:v>
      </x:c>
      <x:c r="P23" s="33" t="str">
        <x:v>https://www.digikey.com/en/products/detail/kemet/C0603C104K5RACTU/1465594</x:v>
      </x:c>
      <x:c r="Q23" s="33" t="str">
        <x:v>https://search.kemet.com/download/specsheet/C0603C104K5RACTU</x:v>
      </x:c>
      <x:c r="R23" s="33" t="str"/>
    </x:row>
    <x:row r="24" ht="42" customHeight="1">
      <x:c r="A24" s="9" t="str">
        <x:v>C0603C105K3RACTU</x:v>
      </x:c>
      <x:c r="B24" s="10" t="n">
        <x:v>25</x:v>
      </x:c>
      <x:c r="C24" s="13" t="n">
        <x:v>45</x:v>
      </x:c>
      <x:c r="D24" s="22"/>
      <x:c r="E24" s="16" t="n">
        <x:v>8.1</x:v>
      </x:c>
      <x:c r="F24" s="20" t="n">
        <x:f>ROUND(IF(ISNUMBER(D24),C24*D24,0)+E24+1E-9,2)</x:f>
        <x:v>8.1</x:v>
      </x:c>
      <x:c r="G24" s="13" t="n">
        <x:v>275</x:v>
      </x:c>
      <x:c r="H24" s="22"/>
      <x:c r="I24" s="16" t="n">
        <x:v>49.5</x:v>
      </x:c>
      <x:c r="J24" s="20" t="n">
        <x:f>ROUND(IF(ISNUMBER(H24),G24*H24,0)+I24+1E-9,2)</x:f>
        <x:v>49.5</x:v>
      </x:c>
      <x:c r="K24" s="10" t="str">
        <x:v>NO_PRICE</x:v>
      </x:c>
      <x:c r="L24" s="2" t="str">
        <x:v>KEMET</x:v>
      </x:c>
      <x:c r="M24" s="31" t="str">
        <x:v>C1104; C1124; C1144; C1164; C118; C1184; C120; C1204; C122; C201; C301; C5403; C5405; C5407; C5600; C5607; C5609; C5610; C5611; C741; C743; C745; C747; C749; C762</x:v>
      </x:c>
      <x:c r="N24" s="32" t="str">
        <x:v>0603</x:v>
      </x:c>
      <x:c r="O24" s="31" t="str">
        <x:v>SELECTED_CATALOG_ITEM</x:v>
      </x:c>
      <x:c r="P24" s="31" t="str">
        <x:v>Оценочный резерв — прайс отсутствует</x:v>
      </x:c>
      <x:c r="Q24" s="31" t="str">
        <x:v>https://search.kemet.com/download/specsheet/C0603C105K3RACTU</x:v>
      </x:c>
      <x:c r="R24" s="31" t="str"/>
    </x:row>
    <x:row r="25" ht="42" customHeight="1">
      <x:c r="A25" s="9" t="str">
        <x:v>C0603C121F5GACTU</x:v>
      </x:c>
      <x:c r="B25" s="10" t="n">
        <x:v>1</x:v>
      </x:c>
      <x:c r="C25" s="13" t="n">
        <x:v>21</x:v>
      </x:c>
      <x:c r="D25" s="22"/>
      <x:c r="E25" s="16" t="n">
        <x:v>3.78</x:v>
      </x:c>
      <x:c r="F25" s="20" t="n">
        <x:f>ROUND(IF(ISNUMBER(D25),C25*D25,0)+E25+1E-9,2)</x:f>
        <x:v>3.78</x:v>
      </x:c>
      <x:c r="G25" s="13" t="n">
        <x:v>30</x:v>
      </x:c>
      <x:c r="H25" s="22"/>
      <x:c r="I25" s="16" t="n">
        <x:v>5.4</x:v>
      </x:c>
      <x:c r="J25" s="20" t="n">
        <x:f>ROUND(IF(ISNUMBER(H25),G25*H25,0)+I25+1E-9,2)</x:f>
        <x:v>5.4</x:v>
      </x:c>
      <x:c r="K25" s="10" t="str">
        <x:v>NO_PRICE</x:v>
      </x:c>
      <x:c r="L25" s="12" t="str">
        <x:v>KEMET</x:v>
      </x:c>
      <x:c r="M25" s="33" t="str">
        <x:v>C806</x:v>
      </x:c>
      <x:c r="N25" s="34" t="str">
        <x:v>0603</x:v>
      </x:c>
      <x:c r="O25" s="33" t="str">
        <x:v>SELECTED_CATALOG_ITEM</x:v>
      </x:c>
      <x:c r="P25" s="33" t="str">
        <x:v>Оценочный резерв — прайс отсутствует</x:v>
      </x:c>
      <x:c r="Q25" s="33" t="str">
        <x:v>https://www.digikey.com/en/products/detail/kemet/C0603C121F5GACTU/2199842</x:v>
      </x:c>
      <x:c r="R25" s="33" t="str"/>
    </x:row>
    <x:row r="26" ht="42" customHeight="1">
      <x:c r="A26" s="9" t="str">
        <x:v>C0603C225K8RACTU</x:v>
      </x:c>
      <x:c r="B26" s="10" t="n">
        <x:v>2</x:v>
      </x:c>
      <x:c r="C26" s="13" t="n">
        <x:v>22</x:v>
      </x:c>
      <x:c r="D26" s="22"/>
      <x:c r="E26" s="16" t="n">
        <x:v>3.96</x:v>
      </x:c>
      <x:c r="F26" s="20" t="n">
        <x:f>ROUND(IF(ISNUMBER(D26),C26*D26,0)+E26+1E-9,2)</x:f>
        <x:v>3.96</x:v>
      </x:c>
      <x:c r="G26" s="13" t="n">
        <x:v>40</x:v>
      </x:c>
      <x:c r="H26" s="22"/>
      <x:c r="I26" s="16" t="n">
        <x:v>7.2</x:v>
      </x:c>
      <x:c r="J26" s="20" t="n">
        <x:f>ROUND(IF(ISNUMBER(H26),G26*H26,0)+I26+1E-9,2)</x:f>
        <x:v>7.2</x:v>
      </x:c>
      <x:c r="K26" s="10" t="str">
        <x:v>NO_PRICE</x:v>
      </x:c>
      <x:c r="L26" s="2" t="str">
        <x:v>KEMET</x:v>
      </x:c>
      <x:c r="M26" s="31" t="str">
        <x:v>C115; C116</x:v>
      </x:c>
      <x:c r="N26" s="32" t="str">
        <x:v>0603</x:v>
      </x:c>
      <x:c r="O26" s="31" t="str">
        <x:v>SELECTED_CATALOG_ITEM</x:v>
      </x:c>
      <x:c r="P26" s="31" t="str">
        <x:v>Оценочный резерв — прайс отсутствует</x:v>
      </x:c>
      <x:c r="Q26" s="31" t="str">
        <x:v>https://www.tme.com/us/en-us/details/c0603c225k8rac/mlcc-smd-capacitors/kemet/c0603c225k8ractu/</x:v>
      </x:c>
      <x:c r="R26" s="31" t="str">
        <x:v>Required effective capacitance not yet verified with supplier bias, temperature, tolerance and aging envelope.</x:v>
      </x:c>
    </x:row>
    <x:row r="27" ht="42" customHeight="1">
      <x:c r="A27" s="9" t="str">
        <x:v>C0603C331J1GACTU</x:v>
      </x:c>
      <x:c r="B27" s="10" t="n">
        <x:v>12</x:v>
      </x:c>
      <x:c r="C27" s="13" t="n">
        <x:v>32</x:v>
      </x:c>
      <x:c r="D27" s="22"/>
      <x:c r="E27" s="16" t="n">
        <x:v>5.76</x:v>
      </x:c>
      <x:c r="F27" s="20" t="n">
        <x:f>ROUND(IF(ISNUMBER(D27),C27*D27,0)+E27+1E-9,2)</x:f>
        <x:v>5.76</x:v>
      </x:c>
      <x:c r="G27" s="13" t="n">
        <x:v>140</x:v>
      </x:c>
      <x:c r="H27" s="22"/>
      <x:c r="I27" s="16" t="n">
        <x:v>25.2</x:v>
      </x:c>
      <x:c r="J27" s="20" t="n">
        <x:f>ROUND(IF(ISNUMBER(H27),G27*H27,0)+I27+1E-9,2)</x:f>
        <x:v>25.2</x:v>
      </x:c>
      <x:c r="K27" s="10" t="str">
        <x:v>NO_PRICE</x:v>
      </x:c>
      <x:c r="L27" s="12" t="str">
        <x:v>KEMET</x:v>
      </x:c>
      <x:c r="M27" s="33" t="str">
        <x:v>C202; C203; C204; C211; C236; C244; C302; C303; C304; C311; C336; C344</x:v>
      </x:c>
      <x:c r="N27" s="34" t="str">
        <x:v>0603</x:v>
      </x:c>
      <x:c r="O27" s="33" t="str">
        <x:v>SELECTED_CATALOG_ITEM</x:v>
      </x:c>
      <x:c r="P27" s="33" t="str">
        <x:v>Оценочный резерв — прайс отсутствует</x:v>
      </x:c>
      <x:c r="Q27" s="33" t="str">
        <x:v>https://search.kemet.com/download/specsheet/C0603C331J1GACTU</x:v>
      </x:c>
      <x:c r="R27" s="33" t="str"/>
    </x:row>
    <x:row r="28" ht="42" customHeight="1">
      <x:c r="A28" s="9" t="str">
        <x:v>C0603C332J5GACTU</x:v>
      </x:c>
      <x:c r="B28" s="10" t="n">
        <x:v>2</x:v>
      </x:c>
      <x:c r="C28" s="13" t="n">
        <x:v>22</x:v>
      </x:c>
      <x:c r="D28" s="22"/>
      <x:c r="E28" s="16" t="n">
        <x:v>3.96</x:v>
      </x:c>
      <x:c r="F28" s="20" t="n">
        <x:f>ROUND(IF(ISNUMBER(D28),C28*D28,0)+E28+1E-9,2)</x:f>
        <x:v>3.96</x:v>
      </x:c>
      <x:c r="G28" s="13" t="n">
        <x:v>40</x:v>
      </x:c>
      <x:c r="H28" s="22"/>
      <x:c r="I28" s="16" t="n">
        <x:v>7.2</x:v>
      </x:c>
      <x:c r="J28" s="20" t="n">
        <x:f>ROUND(IF(ISNUMBER(H28),G28*H28,0)+I28+1E-9,2)</x:f>
        <x:v>7.2</x:v>
      </x:c>
      <x:c r="K28" s="10" t="str">
        <x:v>NO_PRICE</x:v>
      </x:c>
      <x:c r="L28" s="2" t="str">
        <x:v>KEMET</x:v>
      </x:c>
      <x:c r="M28" s="31" t="str">
        <x:v>C1711; C1721</x:v>
      </x:c>
      <x:c r="N28" s="32" t="str">
        <x:v>0603</x:v>
      </x:c>
      <x:c r="O28" s="31" t="str">
        <x:v>SELECTED_CATALOG_ITEM</x:v>
      </x:c>
      <x:c r="P28" s="31" t="str">
        <x:v>Оценочный резерв — прайс отсутствует</x:v>
      </x:c>
      <x:c r="Q28" s="31" t="str">
        <x:v>https://www.digikey.com/en/products/detail/kemet/C0603C332J5GACTU/2200552</x:v>
      </x:c>
      <x:c r="R28" s="31" t="str"/>
    </x:row>
    <x:row r="29" ht="42" customHeight="1">
      <x:c r="A29" s="9" t="str">
        <x:v>C0603C333K5RACTU</x:v>
      </x:c>
      <x:c r="B29" s="10" t="n">
        <x:v>1</x:v>
      </x:c>
      <x:c r="C29" s="13" t="n">
        <x:v>21</x:v>
      </x:c>
      <x:c r="D29" s="22"/>
      <x:c r="E29" s="16" t="n">
        <x:v>3.78</x:v>
      </x:c>
      <x:c r="F29" s="20" t="n">
        <x:f>ROUND(IF(ISNUMBER(D29),C29*D29,0)+E29+1E-9,2)</x:f>
        <x:v>3.78</x:v>
      </x:c>
      <x:c r="G29" s="13" t="n">
        <x:v>30</x:v>
      </x:c>
      <x:c r="H29" s="22"/>
      <x:c r="I29" s="16" t="n">
        <x:v>5.4</x:v>
      </x:c>
      <x:c r="J29" s="20" t="n">
        <x:f>ROUND(IF(ISNUMBER(H29),G29*H29,0)+I29+1E-9,2)</x:f>
        <x:v>5.4</x:v>
      </x:c>
      <x:c r="K29" s="10" t="str">
        <x:v>NO_PRICE</x:v>
      </x:c>
      <x:c r="L29" s="12" t="str">
        <x:v>KEMET</x:v>
      </x:c>
      <x:c r="M29" s="33" t="str">
        <x:v>C5603</x:v>
      </x:c>
      <x:c r="N29" s="34" t="str">
        <x:v>0603</x:v>
      </x:c>
      <x:c r="O29" s="33" t="str">
        <x:v>SELECTED_CATALOG_ITEM</x:v>
      </x:c>
      <x:c r="P29" s="33" t="str">
        <x:v>Оценочный резерв — прайс отсутствует</x:v>
      </x:c>
      <x:c r="Q29" s="33" t="str">
        <x:v>https://www.digikey.com/en/products/detail/kemet/C0603C333K5RACTU/2200581</x:v>
      </x:c>
      <x:c r="R29" s="33" t="str"/>
    </x:row>
    <x:row r="30" ht="42" customHeight="1">
      <x:c r="A30" s="9" t="str">
        <x:v>C0603C470J1GACTU</x:v>
      </x:c>
      <x:c r="B30" s="10" t="n">
        <x:v>13</x:v>
      </x:c>
      <x:c r="C30" s="13" t="n">
        <x:v>33</x:v>
      </x:c>
      <x:c r="D30" s="22"/>
      <x:c r="E30" s="16" t="n">
        <x:v>5.94</x:v>
      </x:c>
      <x:c r="F30" s="20" t="n">
        <x:f>ROUND(IF(ISNUMBER(D30),C30*D30,0)+E30+1E-9,2)</x:f>
        <x:v>5.94</x:v>
      </x:c>
      <x:c r="G30" s="13" t="n">
        <x:v>150</x:v>
      </x:c>
      <x:c r="H30" s="22"/>
      <x:c r="I30" s="16" t="n">
        <x:v>27</x:v>
      </x:c>
      <x:c r="J30" s="20" t="n">
        <x:f>ROUND(IF(ISNUMBER(H30),G30*H30,0)+I30+1E-9,2)</x:f>
        <x:v>27</x:v>
      </x:c>
      <x:c r="K30" s="10" t="str">
        <x:v>NO_PRICE</x:v>
      </x:c>
      <x:c r="L30" s="2" t="str">
        <x:v>KEMET</x:v>
      </x:c>
      <x:c r="M30" s="31" t="str">
        <x:v>C1600; C1601; C1602; C1603; C1604; C750; C751; C752; C753; C754; C755; C756; C757</x:v>
      </x:c>
      <x:c r="N30" s="32" t="str">
        <x:v>0603</x:v>
      </x:c>
      <x:c r="O30" s="31" t="str">
        <x:v>SELECTED_CATALOG_ITEM</x:v>
      </x:c>
      <x:c r="P30" s="31" t="str">
        <x:v>Оценочный резерв — прайс отсутствует</x:v>
      </x:c>
      <x:c r="Q30" s="31" t="str">
        <x:v>https://www.digikey.com/en/products/detail/kemet/C0603C470J1GACTU/2200767</x:v>
      </x:c>
      <x:c r="R30" s="31" t="str"/>
    </x:row>
    <x:row r="31" ht="42" customHeight="1">
      <x:c r="A31" s="9" t="str">
        <x:v>C0603C471J1GACTU</x:v>
      </x:c>
      <x:c r="B31" s="10" t="n">
        <x:v>2</x:v>
      </x:c>
      <x:c r="C31" s="13" t="n">
        <x:v>22</x:v>
      </x:c>
      <x:c r="D31" s="22"/>
      <x:c r="E31" s="16" t="n">
        <x:v>3.96</x:v>
      </x:c>
      <x:c r="F31" s="20" t="n">
        <x:f>ROUND(IF(ISNUMBER(D31),C31*D31,0)+E31+1E-9,2)</x:f>
        <x:v>3.96</x:v>
      </x:c>
      <x:c r="G31" s="13" t="n">
        <x:v>40</x:v>
      </x:c>
      <x:c r="H31" s="22"/>
      <x:c r="I31" s="16" t="n">
        <x:v>7.2</x:v>
      </x:c>
      <x:c r="J31" s="20" t="n">
        <x:f>ROUND(IF(ISNUMBER(H31),G31*H31,0)+I31+1E-9,2)</x:f>
        <x:v>7.2</x:v>
      </x:c>
      <x:c r="K31" s="10" t="str">
        <x:v>NO_PRICE</x:v>
      </x:c>
      <x:c r="L31" s="12" t="str">
        <x:v>KEMET</x:v>
      </x:c>
      <x:c r="M31" s="33" t="str">
        <x:v>C245; C345</x:v>
      </x:c>
      <x:c r="N31" s="34" t="str">
        <x:v>0603</x:v>
      </x:c>
      <x:c r="O31" s="33" t="str">
        <x:v>SELECTED_CATALOG_ITEM</x:v>
      </x:c>
      <x:c r="P31" s="33" t="str">
        <x:v>Оценочный резерв — прайс отсутствует</x:v>
      </x:c>
      <x:c r="Q31" s="33" t="str">
        <x:v>https://www.digikey.com/en/products/detail/kemet/C0603C471J1GACTU/3471644</x:v>
      </x:c>
      <x:c r="R31" s="33" t="str"/>
    </x:row>
    <x:row r="32" ht="42" customHeight="1">
      <x:c r="A32" s="9" t="str">
        <x:v>C0603C472J1GACTU</x:v>
      </x:c>
      <x:c r="B32" s="10" t="n">
        <x:v>26</x:v>
      </x:c>
      <x:c r="C32" s="13" t="n">
        <x:v>46</x:v>
      </x:c>
      <x:c r="D32" s="22"/>
      <x:c r="E32" s="16" t="n">
        <x:v>8.28</x:v>
      </x:c>
      <x:c r="F32" s="20" t="n">
        <x:f>ROUND(IF(ISNUMBER(D32),C32*D32,0)+E32+1E-9,2)</x:f>
        <x:v>8.28</x:v>
      </x:c>
      <x:c r="G32" s="13" t="n">
        <x:v>286</x:v>
      </x:c>
      <x:c r="H32" s="22"/>
      <x:c r="I32" s="16" t="n">
        <x:v>51.48</x:v>
      </x:c>
      <x:c r="J32" s="20" t="n">
        <x:f>ROUND(IF(ISNUMBER(H32),G32*H32,0)+I32+1E-9,2)</x:f>
        <x:v>51.48</x:v>
      </x:c>
      <x:c r="K32" s="10" t="str">
        <x:v>NO_PRICE</x:v>
      </x:c>
      <x:c r="L32" s="2" t="str">
        <x:v>KEMET</x:v>
      </x:c>
      <x:c r="M32" s="31" t="str">
        <x:v>C220; C221; C222; C223; C224; C225; C226; C241; C242; C249; C250; C251; C253; C320; C321; C322; C323; C324; C325; C326; C341; C342; C349; C350; C351; C353</x:v>
      </x:c>
      <x:c r="N32" s="32" t="str">
        <x:v>0603</x:v>
      </x:c>
      <x:c r="O32" s="31" t="str">
        <x:v>SELECTED_CATALOG_ITEM</x:v>
      </x:c>
      <x:c r="P32" s="31" t="str">
        <x:v>Оценочный резерв — прайс отсутствует</x:v>
      </x:c>
      <x:c r="Q32" s="31" t="str">
        <x:v>https://www.digikey.com/en/products/detail/kemet/C0603C472J1GACTU/3737137</x:v>
      </x:c>
      <x:c r="R32" s="31" t="str"/>
    </x:row>
    <x:row r="33" ht="42" customHeight="1">
      <x:c r="A33" s="9" t="str">
        <x:v>C0805C102J1GACTU</x:v>
      </x:c>
      <x:c r="B33" s="10" t="n">
        <x:v>4</x:v>
      </x:c>
      <x:c r="C33" s="13" t="n">
        <x:v>24</x:v>
      </x:c>
      <x:c r="D33" s="22"/>
      <x:c r="E33" s="16" t="n">
        <x:v>4.32</x:v>
      </x:c>
      <x:c r="F33" s="20" t="n">
        <x:f>ROUND(IF(ISNUMBER(D33),C33*D33,0)+E33+1E-9,2)</x:f>
        <x:v>4.32</x:v>
      </x:c>
      <x:c r="G33" s="13" t="n">
        <x:v>60</x:v>
      </x:c>
      <x:c r="H33" s="22"/>
      <x:c r="I33" s="16" t="n">
        <x:v>10.8</x:v>
      </x:c>
      <x:c r="J33" s="20" t="n">
        <x:f>ROUND(IF(ISNUMBER(H33),G33*H33,0)+I33+1E-9,2)</x:f>
        <x:v>10.8</x:v>
      </x:c>
      <x:c r="K33" s="10" t="str">
        <x:v>NO_PRICE</x:v>
      </x:c>
      <x:c r="L33" s="12" t="str">
        <x:v>KEMET</x:v>
      </x:c>
      <x:c r="M33" s="33" t="str">
        <x:v>C6005; C6006; C6055; C6056</x:v>
      </x:c>
      <x:c r="N33" s="34" t="str">
        <x:v>0805</x:v>
      </x:c>
      <x:c r="O33" s="33" t="str">
        <x:v>SELECTED_CATALOG_ITEM</x:v>
      </x:c>
      <x:c r="P33" s="33" t="str">
        <x:v>Оценочный резерв — прайс отсутствует</x:v>
      </x:c>
      <x:c r="Q33" s="33" t="str">
        <x:v>https://www.digikey.com/en/products/detail/kemet/C0805C102J1GACTU/411136</x:v>
      </x:c>
      <x:c r="R33" s="33" t="str"/>
    </x:row>
    <x:row r="34" ht="42" customHeight="1">
      <x:c r="A34" s="9" t="str">
        <x:v>C0805C104K1RACTU</x:v>
      </x:c>
      <x:c r="B34" s="10" t="n">
        <x:v>28</x:v>
      </x:c>
      <x:c r="C34" s="13" t="n">
        <x:v>48</x:v>
      </x:c>
      <x:c r="D34" s="22"/>
      <x:c r="E34" s="16" t="n">
        <x:v>8.64</x:v>
      </x:c>
      <x:c r="F34" s="20" t="n">
        <x:f>ROUND(IF(ISNUMBER(D34),C34*D34,0)+E34+1E-9,2)</x:f>
        <x:v>8.64</x:v>
      </x:c>
      <x:c r="G34" s="13" t="n">
        <x:v>308</x:v>
      </x:c>
      <x:c r="H34" s="22"/>
      <x:c r="I34" s="16" t="n">
        <x:v>55.44</x:v>
      </x:c>
      <x:c r="J34" s="20" t="n">
        <x:f>ROUND(IF(ISNUMBER(H34),G34*H34,0)+I34+1E-9,2)</x:f>
        <x:v>55.44</x:v>
      </x:c>
      <x:c r="K34" s="10" t="str">
        <x:v>NO_PRICE</x:v>
      </x:c>
      <x:c r="L34" s="2" t="str">
        <x:v>KEMET</x:v>
      </x:c>
      <x:c r="M34" s="31" t="str">
        <x:v>C299; C399; C5001; C5002; C5003; C5004; C5051; C5052; C5053; C5054; C5101; C5301; C5650; C6000; C6001; C6002; C6050; C6051; C6052; C6190; C6200; C6201; C6202; C6203; C6250; C6251; C6252; C6253</x:v>
      </x:c>
      <x:c r="N34" s="32" t="str">
        <x:v>0805</x:v>
      </x:c>
      <x:c r="O34" s="31" t="str">
        <x:v>SELECTED_CATALOG_ITEM</x:v>
      </x:c>
      <x:c r="P34" s="31" t="str">
        <x:v>Оценочный резерв — прайс отсутствует</x:v>
      </x:c>
      <x:c r="Q34" s="31" t="str">
        <x:v>https://www.mouser.com/datasheet/3/72/1/C0805C104K1RACTU.pdf</x:v>
      </x:c>
      <x:c r="R34" s="31" t="str"/>
    </x:row>
    <x:row r="35" ht="42" customHeight="1">
      <x:c r="A35" s="9" t="str">
        <x:v>C0805C105K5RACTU</x:v>
      </x:c>
      <x:c r="B35" s="10" t="n">
        <x:v>5</x:v>
      </x:c>
      <x:c r="C35" s="13" t="n">
        <x:v>25</x:v>
      </x:c>
      <x:c r="D35" s="22"/>
      <x:c r="E35" s="16" t="n">
        <x:v>4.5</x:v>
      </x:c>
      <x:c r="F35" s="20" t="n">
        <x:f>ROUND(IF(ISNUMBER(D35),C35*D35,0)+E35+1E-9,2)</x:f>
        <x:v>4.5</x:v>
      </x:c>
      <x:c r="G35" s="13" t="n">
        <x:v>70</x:v>
      </x:c>
      <x:c r="H35" s="22"/>
      <x:c r="I35" s="16" t="n">
        <x:v>12.6</x:v>
      </x:c>
      <x:c r="J35" s="20" t="n">
        <x:f>ROUND(IF(ISNUMBER(H35),G35*H35,0)+I35+1E-9,2)</x:f>
        <x:v>12.6</x:v>
      </x:c>
      <x:c r="K35" s="10" t="str">
        <x:v>NO_PRICE</x:v>
      </x:c>
      <x:c r="L35" s="12" t="str">
        <x:v>KEMET</x:v>
      </x:c>
      <x:c r="M35" s="33" t="str">
        <x:v>C131; C1504; C1530; C1535; C5205</x:v>
      </x:c>
      <x:c r="N35" s="34" t="str">
        <x:v>0805</x:v>
      </x:c>
      <x:c r="O35" s="33" t="str">
        <x:v>SELECTED_CATALOG_ITEM</x:v>
      </x:c>
      <x:c r="P35" s="33" t="str">
        <x:v>Оценочный резерв — прайс отсутствует</x:v>
      </x:c>
      <x:c r="Q35" s="33" t="str">
        <x:v>https://search.kemet.com/component-documentation/download/specsheet/C0805C105K5RACTU</x:v>
      </x:c>
      <x:c r="R35" s="33" t="str"/>
    </x:row>
    <x:row r="36" ht="42" customHeight="1">
      <x:c r="A36" s="9" t="str">
        <x:v>C0805C181J5GACTU</x:v>
      </x:c>
      <x:c r="B36" s="10" t="n">
        <x:v>1</x:v>
      </x:c>
      <x:c r="C36" s="13" t="n">
        <x:v>21</x:v>
      </x:c>
      <x:c r="D36" s="22"/>
      <x:c r="E36" s="16" t="n">
        <x:v>3.78</x:v>
      </x:c>
      <x:c r="F36" s="20" t="n">
        <x:f>ROUND(IF(ISNUMBER(D36),C36*D36,0)+E36+1E-9,2)</x:f>
        <x:v>3.78</x:v>
      </x:c>
      <x:c r="G36" s="13" t="n">
        <x:v>30</x:v>
      </x:c>
      <x:c r="H36" s="22"/>
      <x:c r="I36" s="16" t="n">
        <x:v>5.4</x:v>
      </x:c>
      <x:c r="J36" s="20" t="n">
        <x:f>ROUND(IF(ISNUMBER(H36),G36*H36,0)+I36+1E-9,2)</x:f>
        <x:v>5.4</x:v>
      </x:c>
      <x:c r="K36" s="10" t="str">
        <x:v>NO_PRICE</x:v>
      </x:c>
      <x:c r="L36" s="2" t="str">
        <x:v>KEMET</x:v>
      </x:c>
      <x:c r="M36" s="31" t="str">
        <x:v>C5207</x:v>
      </x:c>
      <x:c r="N36" s="32" t="str">
        <x:v>0805</x:v>
      </x:c>
      <x:c r="O36" s="31" t="str">
        <x:v>SELECTED_CATALOG_ITEM</x:v>
      </x:c>
      <x:c r="P36" s="31" t="str">
        <x:v>Оценочный резерв — прайс отсутствует</x:v>
      </x:c>
      <x:c r="Q36" s="31" t="str">
        <x:v>https://www.digikey.com/en/products/detail/kemet/C0805C181J5GACTU/411125</x:v>
      </x:c>
      <x:c r="R36" s="31" t="str">
        <x:v>Required effective capacitance not yet verified with supplier bias, temperature, tolerance and aging envelope.</x:v>
      </x:c>
    </x:row>
    <x:row r="37" ht="42" customHeight="1">
      <x:c r="A37" s="9" t="str">
        <x:v>C0805C223K1RACTU</x:v>
      </x:c>
      <x:c r="B37" s="10" t="n">
        <x:v>5</x:v>
      </x:c>
      <x:c r="C37" s="13" t="n">
        <x:v>25</x:v>
      </x:c>
      <x:c r="D37" s="22"/>
      <x:c r="E37" s="16" t="n">
        <x:v>4.5</x:v>
      </x:c>
      <x:c r="F37" s="20" t="n">
        <x:f>ROUND(IF(ISNUMBER(D37),C37*D37,0)+E37+1E-9,2)</x:f>
        <x:v>4.5</x:v>
      </x:c>
      <x:c r="G37" s="13" t="n">
        <x:v>70</x:v>
      </x:c>
      <x:c r="H37" s="22"/>
      <x:c r="I37" s="16" t="n">
        <x:v>12.6</x:v>
      </x:c>
      <x:c r="J37" s="20" t="n">
        <x:f>ROUND(IF(ISNUMBER(H37),G37*H37,0)+I37+1E-9,2)</x:f>
        <x:v>12.6</x:v>
      </x:c>
      <x:c r="K37" s="10" t="str">
        <x:v>NO_PRICE</x:v>
      </x:c>
      <x:c r="L37" s="12" t="str">
        <x:v>KEMET</x:v>
      </x:c>
      <x:c r="M37" s="33" t="str">
        <x:v>C5005; C5055; C5206; C6204; C6254</x:v>
      </x:c>
      <x:c r="N37" s="34" t="str">
        <x:v>0805</x:v>
      </x:c>
      <x:c r="O37" s="33" t="str">
        <x:v>SELECTED_CATALOG_ITEM</x:v>
      </x:c>
      <x:c r="P37" s="33" t="str">
        <x:v>Оценочный резерв — прайс отсутствует</x:v>
      </x:c>
      <x:c r="Q37" s="33" t="str">
        <x:v>https://www.tme.com/Document/1eb495a6db632c9d0f71cb50aeea4240/C0805C223K1RACTU.pdf</x:v>
      </x:c>
      <x:c r="R37" s="33" t="str"/>
    </x:row>
    <x:row r="38" ht="42" customHeight="1">
      <x:c r="A38" s="9" t="str">
        <x:v>C0805C224K1RACTU</x:v>
      </x:c>
      <x:c r="B38" s="10" t="n">
        <x:v>8</x:v>
      </x:c>
      <x:c r="C38" s="13" t="n">
        <x:v>28</x:v>
      </x:c>
      <x:c r="D38" s="22"/>
      <x:c r="E38" s="16" t="n">
        <x:v>5.04</x:v>
      </x:c>
      <x:c r="F38" s="20" t="n">
        <x:f>ROUND(IF(ISNUMBER(D38),C38*D38,0)+E38+1E-9,2)</x:f>
        <x:v>5.04</x:v>
      </x:c>
      <x:c r="G38" s="13" t="n">
        <x:v>100</x:v>
      </x:c>
      <x:c r="H38" s="22"/>
      <x:c r="I38" s="16" t="n">
        <x:v>18</x:v>
      </x:c>
      <x:c r="J38" s="20" t="n">
        <x:f>ROUND(IF(ISNUMBER(H38),G38*H38,0)+I38+1E-9,2)</x:f>
        <x:v>18</x:v>
      </x:c>
      <x:c r="K38" s="10" t="str">
        <x:v>NO_PRICE</x:v>
      </x:c>
      <x:c r="L38" s="2" t="str">
        <x:v>KEMET</x:v>
      </x:c>
      <x:c r="M38" s="31" t="str">
        <x:v>C208; C246; C247; C248; C308; C346; C347; C348</x:v>
      </x:c>
      <x:c r="N38" s="32" t="str">
        <x:v>0805</x:v>
      </x:c>
      <x:c r="O38" s="31" t="str">
        <x:v>SELECTED_CATALOG_ITEM</x:v>
      </x:c>
      <x:c r="P38" s="31" t="str">
        <x:v>Оценочный резерв — прайс отсутствует</x:v>
      </x:c>
      <x:c r="Q38" s="31" t="str">
        <x:v>https://content.kemet.com/datasheets/CER_ENG_KIT_30.pdf</x:v>
      </x:c>
      <x:c r="R38" s="31" t="str"/>
    </x:row>
    <x:row r="39" ht="42" customHeight="1">
      <x:c r="A39" s="9" t="str">
        <x:v>C0805C225K4RACTU</x:v>
      </x:c>
      <x:c r="B39" s="10" t="n">
        <x:v>1</x:v>
      </x:c>
      <x:c r="C39" s="13" t="n">
        <x:v>21</x:v>
      </x:c>
      <x:c r="D39" s="22"/>
      <x:c r="E39" s="16" t="n">
        <x:v>3.78</x:v>
      </x:c>
      <x:c r="F39" s="20" t="n">
        <x:f>ROUND(IF(ISNUMBER(D39),C39*D39,0)+E39+1E-9,2)</x:f>
        <x:v>3.78</x:v>
      </x:c>
      <x:c r="G39" s="13" t="n">
        <x:v>30</x:v>
      </x:c>
      <x:c r="H39" s="22"/>
      <x:c r="I39" s="16" t="n">
        <x:v>5.4</x:v>
      </x:c>
      <x:c r="J39" s="20" t="n">
        <x:f>ROUND(IF(ISNUMBER(H39),G39*H39,0)+I39+1E-9,2)</x:f>
        <x:v>5.4</x:v>
      </x:c>
      <x:c r="K39" s="10" t="str">
        <x:v>NO_PRICE</x:v>
      </x:c>
      <x:c r="L39" s="12" t="str">
        <x:v>KEMET</x:v>
      </x:c>
      <x:c r="M39" s="33" t="str">
        <x:v>C5204</x:v>
      </x:c>
      <x:c r="N39" s="34" t="str">
        <x:v>0805</x:v>
      </x:c>
      <x:c r="O39" s="33" t="str">
        <x:v>SELECTED_CATALOG_ITEM</x:v>
      </x:c>
      <x:c r="P39" s="33" t="str">
        <x:v>Оценочный резерв — прайс отсутствует</x:v>
      </x:c>
      <x:c r="Q39" s="33" t="str">
        <x:v>https://search.kemet.com/download/specsheet/C0805C225K4RACTU</x:v>
      </x:c>
      <x:c r="R39" s="33" t="str"/>
    </x:row>
    <x:row r="40" ht="42" customHeight="1">
      <x:c r="A40" s="9" t="str">
        <x:v>C0805C332J5GACTU</x:v>
      </x:c>
      <x:c r="B40" s="10" t="n">
        <x:v>1</x:v>
      </x:c>
      <x:c r="C40" s="13" t="n">
        <x:v>21</x:v>
      </x:c>
      <x:c r="D40" s="22"/>
      <x:c r="E40" s="16" t="n">
        <x:v>3.78</x:v>
      </x:c>
      <x:c r="F40" s="20" t="n">
        <x:f>ROUND(IF(ISNUMBER(D40),C40*D40,0)+E40+1E-9,2)</x:f>
        <x:v>3.78</x:v>
      </x:c>
      <x:c r="G40" s="13" t="n">
        <x:v>30</x:v>
      </x:c>
      <x:c r="H40" s="22"/>
      <x:c r="I40" s="16" t="n">
        <x:v>5.4</x:v>
      </x:c>
      <x:c r="J40" s="20" t="n">
        <x:f>ROUND(IF(ISNUMBER(H40),G40*H40,0)+I40+1E-9,2)</x:f>
        <x:v>5.4</x:v>
      </x:c>
      <x:c r="K40" s="10" t="str">
        <x:v>NO_PRICE</x:v>
      </x:c>
      <x:c r="L40" s="2" t="str">
        <x:v>KEMET</x:v>
      </x:c>
      <x:c r="M40" s="31" t="str">
        <x:v>C5303</x:v>
      </x:c>
      <x:c r="N40" s="32" t="str">
        <x:v>0805</x:v>
      </x:c>
      <x:c r="O40" s="31" t="str">
        <x:v>SELECTED_CATALOG_ITEM</x:v>
      </x:c>
      <x:c r="P40" s="31" t="str">
        <x:v>Оценочный резерв — прайс отсутствует</x:v>
      </x:c>
      <x:c r="Q40" s="31" t="str">
        <x:v>https://www.digikey.com/en/products/detail/kemet/C0805C332J5GACTU/3739599</x:v>
      </x:c>
      <x:c r="R40" s="31" t="str"/>
    </x:row>
    <x:row r="41" ht="42" customHeight="1">
      <x:c r="A41" s="9" t="str">
        <x:v>C0805C334K5RACTU</x:v>
      </x:c>
      <x:c r="B41" s="10" t="n">
        <x:v>2</x:v>
      </x:c>
      <x:c r="C41" s="13" t="n">
        <x:v>22</x:v>
      </x:c>
      <x:c r="D41" s="22"/>
      <x:c r="E41" s="16" t="n">
        <x:v>3.96</x:v>
      </x:c>
      <x:c r="F41" s="20" t="n">
        <x:f>ROUND(IF(ISNUMBER(D41),C41*D41,0)+E41+1E-9,2)</x:f>
        <x:v>3.96</x:v>
      </x:c>
      <x:c r="G41" s="13" t="n">
        <x:v>40</x:v>
      </x:c>
      <x:c r="H41" s="22"/>
      <x:c r="I41" s="16" t="n">
        <x:v>7.2</x:v>
      </x:c>
      <x:c r="J41" s="20" t="n">
        <x:f>ROUND(IF(ISNUMBER(H41),G41*H41,0)+I41+1E-9,2)</x:f>
        <x:v>7.2</x:v>
      </x:c>
      <x:c r="K41" s="10" t="str">
        <x:v>NO_PRICE</x:v>
      </x:c>
      <x:c r="L41" s="12" t="str">
        <x:v>KEMET</x:v>
      </x:c>
      <x:c r="M41" s="33" t="str">
        <x:v>C298; C398</x:v>
      </x:c>
      <x:c r="N41" s="34" t="str">
        <x:v>0805</x:v>
      </x:c>
      <x:c r="O41" s="33" t="str">
        <x:v>SELECTED_CATALOG_ITEM</x:v>
      </x:c>
      <x:c r="P41" s="33" t="str">
        <x:v>Оценочный резерв — прайс отсутствует</x:v>
      </x:c>
      <x:c r="Q41" s="33" t="str">
        <x:v>https://www.digikey.com/en/products/detail/kemet/C0805C334K5RACTU/2212621</x:v>
      </x:c>
      <x:c r="R41" s="33" t="str"/>
    </x:row>
    <x:row r="42" ht="42" customHeight="1">
      <x:c r="A42" s="9" t="str">
        <x:v>C0805C473K1RACTU</x:v>
      </x:c>
      <x:c r="B42" s="10" t="n">
        <x:v>1</x:v>
      </x:c>
      <x:c r="C42" s="13" t="n">
        <x:v>21</x:v>
      </x:c>
      <x:c r="D42" s="22"/>
      <x:c r="E42" s="16" t="n">
        <x:v>3.78</x:v>
      </x:c>
      <x:c r="F42" s="20" t="n">
        <x:f>ROUND(IF(ISNUMBER(D42),C42*D42,0)+E42+1E-9,2)</x:f>
        <x:v>3.78</x:v>
      </x:c>
      <x:c r="G42" s="13" t="n">
        <x:v>30</x:v>
      </x:c>
      <x:c r="H42" s="22"/>
      <x:c r="I42" s="16" t="n">
        <x:v>5.4</x:v>
      </x:c>
      <x:c r="J42" s="20" t="n">
        <x:f>ROUND(IF(ISNUMBER(H42),G42*H42,0)+I42+1E-9,2)</x:f>
        <x:v>5.4</x:v>
      </x:c>
      <x:c r="K42" s="10" t="str">
        <x:v>NO_PRICE</x:v>
      </x:c>
      <x:c r="L42" s="2" t="str">
        <x:v>KEMET</x:v>
      </x:c>
      <x:c r="M42" s="31" t="str">
        <x:v>C5202</x:v>
      </x:c>
      <x:c r="N42" s="32" t="str">
        <x:v>0805</x:v>
      </x:c>
      <x:c r="O42" s="31" t="str">
        <x:v>SELECTED_CATALOG_ITEM</x:v>
      </x:c>
      <x:c r="P42" s="31" t="str">
        <x:v>Оценочный резерв — прайс отсутствует</x:v>
      </x:c>
      <x:c r="Q42" s="31" t="str">
        <x:v>https://www.digikey.com/en/products/detail/kemet/C0805C473K1RACTU/2212858</x:v>
      </x:c>
      <x:c r="R42" s="31" t="str"/>
    </x:row>
    <x:row r="43" ht="42" customHeight="1">
      <x:c r="A43" s="9" t="str">
        <x:v>C0805C474K5RACTU</x:v>
      </x:c>
      <x:c r="B43" s="10" t="n">
        <x:v>1</x:v>
      </x:c>
      <x:c r="C43" s="13" t="n">
        <x:v>21</x:v>
      </x:c>
      <x:c r="D43" s="22"/>
      <x:c r="E43" s="16" t="n">
        <x:v>3.78</x:v>
      </x:c>
      <x:c r="F43" s="20" t="n">
        <x:f>ROUND(IF(ISNUMBER(D43),C43*D43,0)+E43+1E-9,2)</x:f>
        <x:v>3.78</x:v>
      </x:c>
      <x:c r="G43" s="13" t="n">
        <x:v>30</x:v>
      </x:c>
      <x:c r="H43" s="22"/>
      <x:c r="I43" s="16" t="n">
        <x:v>5.4</x:v>
      </x:c>
      <x:c r="J43" s="20" t="n">
        <x:f>ROUND(IF(ISNUMBER(H43),G43*H43,0)+I43+1E-9,2)</x:f>
        <x:v>5.4</x:v>
      </x:c>
      <x:c r="K43" s="10" t="str">
        <x:v>NO_PRICE</x:v>
      </x:c>
      <x:c r="L43" s="12" t="str">
        <x:v>KEMET</x:v>
      </x:c>
      <x:c r="M43" s="33" t="str">
        <x:v>C5203</x:v>
      </x:c>
      <x:c r="N43" s="34" t="str">
        <x:v>0805</x:v>
      </x:c>
      <x:c r="O43" s="33" t="str">
        <x:v>SELECTED_CATALOG_ITEM</x:v>
      </x:c>
      <x:c r="P43" s="33" t="str">
        <x:v>Оценочный резерв — прайс отсутствует</x:v>
      </x:c>
      <x:c r="Q43" s="33" t="str">
        <x:v>https://content.kemet.com/datasheets/CER_ENG_KIT_30.pdf</x:v>
      </x:c>
      <x:c r="R43" s="33" t="str"/>
    </x:row>
    <x:row r="44" ht="42" customHeight="1">
      <x:c r="A44" s="9" t="str">
        <x:v>C1206C105K5RACTU</x:v>
      </x:c>
      <x:c r="B44" s="10" t="n">
        <x:v>2</x:v>
      </x:c>
      <x:c r="C44" s="13" t="n">
        <x:v>3</x:v>
      </x:c>
      <x:c r="D44" s="22"/>
      <x:c r="E44" s="16" t="n">
        <x:v>6</x:v>
      </x:c>
      <x:c r="F44" s="20" t="n">
        <x:f>ROUND(IF(ISNUMBER(D44),C44*D44,0)+E44+1E-9,2)</x:f>
        <x:v>6</x:v>
      </x:c>
      <x:c r="G44" s="13" t="n">
        <x:v>22</x:v>
      </x:c>
      <x:c r="H44" s="22"/>
      <x:c r="I44" s="16" t="n">
        <x:v>44</x:v>
      </x:c>
      <x:c r="J44" s="20" t="n">
        <x:f>ROUND(IF(ISNUMBER(H44),G44*H44,0)+I44+1E-9,2)</x:f>
        <x:v>44</x:v>
      </x:c>
      <x:c r="K44" s="10" t="str">
        <x:v>NO_PRICE</x:v>
      </x:c>
      <x:c r="L44" s="2" t="str">
        <x:v>KEMET</x:v>
      </x:c>
      <x:c r="M44" s="31" t="str">
        <x:v>C6003; C6053</x:v>
      </x:c>
      <x:c r="N44" s="32" t="str">
        <x:v>1206</x:v>
      </x:c>
      <x:c r="O44" s="31" t="str">
        <x:v>SELECTED_CATALOG_ITEM</x:v>
      </x:c>
      <x:c r="P44" s="31" t="str">
        <x:v>Оценочный резерв — прайс отсутствует</x:v>
      </x:c>
      <x:c r="Q44" s="31" t="str">
        <x:v>https://www.digikey.com/en/products/detail/kemet/C1206C105K5RACTU/2215096</x:v>
      </x:c>
      <x:c r="R44" s="31" t="str"/>
    </x:row>
    <x:row r="45" ht="42" customHeight="1">
      <x:c r="A45" s="9" t="str">
        <x:v>C1206C106K4RACTU</x:v>
      </x:c>
      <x:c r="B45" s="10" t="n">
        <x:v>3</x:v>
      </x:c>
      <x:c r="C45" s="13" t="n">
        <x:v>4</x:v>
      </x:c>
      <x:c r="D45" s="22"/>
      <x:c r="E45" s="16" t="n">
        <x:v>8</x:v>
      </x:c>
      <x:c r="F45" s="20" t="n">
        <x:f>ROUND(IF(ISNUMBER(D45),C45*D45,0)+E45+1E-9,2)</x:f>
        <x:v>8</x:v>
      </x:c>
      <x:c r="G45" s="13" t="n">
        <x:v>33</x:v>
      </x:c>
      <x:c r="H45" s="22"/>
      <x:c r="I45" s="16" t="n">
        <x:v>66</x:v>
      </x:c>
      <x:c r="J45" s="20" t="n">
        <x:f>ROUND(IF(ISNUMBER(H45),G45*H45,0)+I45+1E-9,2)</x:f>
        <x:v>66</x:v>
      </x:c>
      <x:c r="K45" s="10" t="str">
        <x:v>NO_PRICE</x:v>
      </x:c>
      <x:c r="L45" s="12" t="str">
        <x:v>KEMET</x:v>
      </x:c>
      <x:c r="M45" s="33" t="str">
        <x:v>C114; C5661; C5662</x:v>
      </x:c>
      <x:c r="N45" s="34" t="str">
        <x:v>1206</x:v>
      </x:c>
      <x:c r="O45" s="33" t="str">
        <x:v>SELECTED_CATALOG_ITEM; SELECTED_CONDITIONAL</x:v>
      </x:c>
      <x:c r="P45" s="33" t="str">
        <x:v>Оценочный резерв — прайс отсутствует</x:v>
      </x:c>
      <x:c r="Q45" s="33" t="str">
        <x:v>https://search.kemet.com/component-documentation/download/specsheet/C1206C106K4RACTU</x:v>
      </x:c>
      <x:c r="R45" s="33" t="str">
        <x:v>C114 must provide &gt;=4.7uF effective at actual 3.3V, temperature, negative tolerance and aging. 10uF nominal is not proof; supplier envelope and board validation pending.; Nominal10uF alone does not establish required4.7uF effective minimum.; Required effective capacitance not yet verified with supplier bias, temperature, tolerance and aging envelope.</x:v>
      </x:c>
    </x:row>
    <x:row r="46" ht="42" customHeight="1">
      <x:c r="A46" s="9" t="str">
        <x:v>C1210C226K4RACTU</x:v>
      </x:c>
      <x:c r="B46" s="10" t="n">
        <x:v>1</x:v>
      </x:c>
      <x:c r="C46" s="13" t="n">
        <x:v>2</x:v>
      </x:c>
      <x:c r="D46" s="22"/>
      <x:c r="E46" s="16" t="n">
        <x:v>4</x:v>
      </x:c>
      <x:c r="F46" s="20" t="n">
        <x:f>ROUND(IF(ISNUMBER(D46),C46*D46,0)+E46+1E-9,2)</x:f>
        <x:v>4</x:v>
      </x:c>
      <x:c r="G46" s="13" t="n">
        <x:v>11</x:v>
      </x:c>
      <x:c r="H46" s="22"/>
      <x:c r="I46" s="16" t="n">
        <x:v>22</x:v>
      </x:c>
      <x:c r="J46" s="20" t="n">
        <x:f>ROUND(IF(ISNUMBER(H46),G46*H46,0)+I46+1E-9,2)</x:f>
        <x:v>22</x:v>
      </x:c>
      <x:c r="K46" s="10" t="str">
        <x:v>NO_PRICE</x:v>
      </x:c>
      <x:c r="L46" s="2" t="str">
        <x:v>KEMET</x:v>
      </x:c>
      <x:c r="M46" s="31" t="str">
        <x:v>C5302</x:v>
      </x:c>
      <x:c r="N46" s="32" t="str">
        <x:v>1210</x:v>
      </x:c>
      <x:c r="O46" s="31" t="str">
        <x:v>SELECTED_CATALOG_ITEM</x:v>
      </x:c>
      <x:c r="P46" s="31" t="str">
        <x:v>Оценочный резерв — прайс отсутствует</x:v>
      </x:c>
      <x:c r="Q46" s="31" t="str">
        <x:v>https://www.digikey.com/en/products/detail/kemet/C1210C226K4RACTU/5023254</x:v>
      </x:c>
      <x:c r="R46" s="31" t="str">
        <x:v>Required effective capacitance not yet verified with supplier bias, temperature, tolerance and aging envelope.</x:v>
      </x:c>
    </x:row>
    <x:row r="47" ht="42" customHeight="1">
      <x:c r="A47" s="11" t="str">
        <x:v>C1812X102JGGACAUTO</x:v>
      </x:c>
      <x:c r="B47" s="12" t="n">
        <x:v>1</x:v>
      </x:c>
      <x:c r="C47" s="15" t="n">
        <x:v>2</x:v>
      </x:c>
      <x:c r="D47" s="24" t="n">
        <x:v>5.41</x:v>
      </x:c>
      <x:c r="E47" s="18" t="n">
        <x:v>0</x:v>
      </x:c>
      <x:c r="F47" s="21" t="n">
        <x:f>ROUND(IF(ISNUMBER(D47),C47*D47,0)+E47+1E-9,2)</x:f>
        <x:v>10.82</x:v>
      </x:c>
      <x:c r="G47" s="15" t="n">
        <x:v>11</x:v>
      </x:c>
      <x:c r="H47" s="24" t="n">
        <x:v>3.835</x:v>
      </x:c>
      <x:c r="I47" s="18" t="n">
        <x:v>0</x:v>
      </x:c>
      <x:c r="J47" s="21" t="n">
        <x:f>ROUND(IF(ISNUMBER(H47),G47*H47,0)+I47+1E-9,2)</x:f>
        <x:v>42.19</x:v>
      </x:c>
      <x:c r="K47" s="12" t="str">
        <x:v>CATALOG_PRICE</x:v>
      </x:c>
      <x:c r="L47" s="12" t="str">
        <x:v>KEMET</x:v>
      </x:c>
      <x:c r="M47" s="33" t="str">
        <x:v>C1511</x:v>
      </x:c>
      <x:c r="N47" s="34" t="str">
        <x:v>1812</x:v>
      </x:c>
      <x:c r="O47" s="33" t="str">
        <x:v>SELECTED_CONDITIONAL</x:v>
      </x:c>
      <x:c r="P47" s="33" t="str">
        <x:v>https://www.digikey.com/en/products/detail/kemet/C1812X102JGGACAUTO/16524894</x:v>
      </x:c>
      <x:c r="Q47" s="33" t="str">
        <x:v>https://www.digikey.com/en/products/detail/kemet/C1812X102JGGACAUTO/16524894; https://yageogroup.com/content/datasheet/asset/file/KEM_C1081_C0G_HV_FT_AUTO_SMD</x:v>
      </x:c>
      <x:c r="R47" s="33" t="str">
        <x:v>Source1206 footprint must become1812. Verify chassis coupling safety, clearances and actual voltage stress;2kV rating alone does not establish insulation safety.</x:v>
      </x:c>
    </x:row>
    <x:row r="48" ht="42" customHeight="1">
      <x:c r="A48" s="9" t="str">
        <x:v>C3225X7R2A106K250AC</x:v>
      </x:c>
      <x:c r="B48" s="10" t="n">
        <x:v>2</x:v>
      </x:c>
      <x:c r="C48" s="13" t="n">
        <x:v>3</x:v>
      </x:c>
      <x:c r="D48" s="22"/>
      <x:c r="E48" s="16" t="n">
        <x:v>6</x:v>
      </x:c>
      <x:c r="F48" s="20" t="n">
        <x:f>ROUND(IF(ISNUMBER(D48),C48*D48,0)+E48+1E-9,2)</x:f>
        <x:v>6</x:v>
      </x:c>
      <x:c r="G48" s="13" t="n">
        <x:v>22</x:v>
      </x:c>
      <x:c r="H48" s="22"/>
      <x:c r="I48" s="16" t="n">
        <x:v>44</x:v>
      </x:c>
      <x:c r="J48" s="20" t="n">
        <x:f>ROUND(IF(ISNUMBER(H48),G48*H48,0)+I48+1E-9,2)</x:f>
        <x:v>44</x:v>
      </x:c>
      <x:c r="K48" s="10" t="str">
        <x:v>NO_PRICE</x:v>
      </x:c>
      <x:c r="L48" s="2" t="str">
        <x:v>TDK</x:v>
      </x:c>
      <x:c r="M48" s="31" t="str">
        <x:v>C5200; C5201</x:v>
      </x:c>
      <x:c r="N48" s="32" t="str">
        <x:v>1210</x:v>
      </x:c>
      <x:c r="O48" s="31" t="str">
        <x:v>SELECTED_CATALOG_ITEM</x:v>
      </x:c>
      <x:c r="P48" s="31" t="str">
        <x:v>Оценочный резерв — прайс отсутствует</x:v>
      </x:c>
      <x:c r="Q48" s="31" t="str">
        <x:v>https://www.digikey.com/en/products/detail/tdk/C3225X7R2A106K250AC/15930207</x:v>
      </x:c>
      <x:c r="R48" s="31" t="str">
        <x:v>Required effective capacitance not yet verified with supplier bias, temperature, tolerance and aging envelope.</x:v>
      </x:c>
    </x:row>
    <x:row r="49" ht="42" customHeight="1">
      <x:c r="A49" s="11" t="str">
        <x:v>CGA9P3X7R1H226M250KB</x:v>
      </x:c>
      <x:c r="B49" s="12" t="n">
        <x:v>2</x:v>
      </x:c>
      <x:c r="C49" s="15" t="n">
        <x:v>3</x:v>
      </x:c>
      <x:c r="D49" s="24" t="n">
        <x:v>10.65</x:v>
      </x:c>
      <x:c r="E49" s="18" t="n">
        <x:v>0</x:v>
      </x:c>
      <x:c r="F49" s="21" t="n">
        <x:f>ROUND(IF(ISNUMBER(D49),C49*D49,0)+E49+1E-9,2)</x:f>
        <x:v>31.95</x:v>
      </x:c>
      <x:c r="G49" s="15" t="n">
        <x:v>22</x:v>
      </x:c>
      <x:c r="H49" s="24" t="n">
        <x:v>8.071</x:v>
      </x:c>
      <x:c r="I49" s="18" t="n">
        <x:v>0</x:v>
      </x:c>
      <x:c r="J49" s="21" t="n">
        <x:f>ROUND(IF(ISNUMBER(H49),G49*H49,0)+I49+1E-9,2)</x:f>
        <x:v>177.56</x:v>
      </x:c>
      <x:c r="K49" s="12" t="str">
        <x:v>CATALOG_PRICE</x:v>
      </x:c>
      <x:c r="L49" s="12" t="str">
        <x:v>TDK</x:v>
      </x:c>
      <x:c r="M49" s="33" t="str">
        <x:v>C1533; C1538</x:v>
      </x:c>
      <x:c r="N49" s="34" t="str">
        <x:v>2220</x:v>
      </x:c>
      <x:c r="O49" s="33" t="str">
        <x:v>SELECTED_CONDITIONAL</x:v>
      </x:c>
      <x:c r="P49" s="33" t="str">
        <x:v>https://www.digikey.com/en/products/detail/tdk/CGA9P3X7R1H226M250KB/10240637</x:v>
      </x:c>
      <x:c r="Q49" s="33" t="str">
        <x:v>https://product.tdk.com/en/search/capacitor/ceramic/mlcc/info?part_no=CGA9P3X7R1H226M250KB; https://product.tdk.com/info/en/documents/chara_sheet/CGA9P3X7R1H226M250KB.pdf; https://www.digikey.com/en/products/detail/tdk/CGA9P3X7R1H226M250KB/10240637</x:v>
      </x:c>
      <x:c r="R49" s="33" t="str">
        <x:v>Required effective capacitance not yet verified with supplier bias, temperature, tolerance and aging envelope.; Source1210 footprint must become2220. Typical manufacturer DC-bias curve available; worst-case effective capacitance/ESR/ripple under actual WBO conditions remains unqualified.</x:v>
      </x:c>
    </x:row>
    <x:row r="50" ht="42" customHeight="1">
      <x:c r="A50" s="9" t="str">
        <x:v>CLVC1G125QDBVRQ1</x:v>
      </x:c>
      <x:c r="B50" s="10" t="n">
        <x:v>1</x:v>
      </x:c>
      <x:c r="C50" s="13" t="n">
        <x:v>2</x:v>
      </x:c>
      <x:c r="D50" s="22"/>
      <x:c r="E50" s="16" t="n">
        <x:v>2.4</x:v>
      </x:c>
      <x:c r="F50" s="20" t="n">
        <x:f>ROUND(IF(ISNUMBER(D50),C50*D50,0)+E50+1E-9,2)</x:f>
        <x:v>2.4</x:v>
      </x:c>
      <x:c r="G50" s="13" t="n">
        <x:v>11</x:v>
      </x:c>
      <x:c r="H50" s="22"/>
      <x:c r="I50" s="16" t="n">
        <x:v>13.2</x:v>
      </x:c>
      <x:c r="J50" s="20" t="n">
        <x:f>ROUND(IF(ISNUMBER(H50),G50*H50,0)+I50+1E-9,2)</x:f>
        <x:v>13.2</x:v>
      </x:c>
      <x:c r="K50" s="10" t="str">
        <x:v>NO_PRICE</x:v>
      </x:c>
      <x:c r="L50" s="2" t="str">
        <x:v>Texas Instruments</x:v>
      </x:c>
      <x:c r="M50" s="31" t="str">
        <x:v>U1703</x:v>
      </x:c>
      <x:c r="N50" s="32" t="str">
        <x:v>SOT-23-5</x:v>
      </x:c>
      <x:c r="O50" s="31" t="str">
        <x:v>REFERENCE_MPN_RETAINED</x:v>
      </x:c>
      <x:c r="P50" s="31" t="str">
        <x:v>Оценочный резерв — прайс отсутствует</x:v>
      </x:c>
      <x:c r="Q50" s="31" t="str">
        <x:v>https://www.ti.com/product/SN74LVC1G125-Q1/part-details/CLVC1G125QDBVRQ1</x:v>
      </x:c>
      <x:c r="R50" s="31" t="str">
        <x:v>Existing schematic MPN retained. Complete circuit rating/temperature and package signoff is still required.</x:v>
      </x:c>
    </x:row>
    <x:row r="51" ht="42" customHeight="1">
      <x:c r="A51" s="9" t="str">
        <x:v>CRCW06030000Z0EA</x:v>
      </x:c>
      <x:c r="B51" s="10" t="n">
        <x:v>8</x:v>
      </x:c>
      <x:c r="C51" s="13" t="n">
        <x:v>28</x:v>
      </x:c>
      <x:c r="D51" s="22"/>
      <x:c r="E51" s="16" t="n">
        <x:v>1.12</x:v>
      </x:c>
      <x:c r="F51" s="20" t="n">
        <x:f>ROUND(IF(ISNUMBER(D51),C51*D51,0)+E51+1E-9,2)</x:f>
        <x:v>1.12</x:v>
      </x:c>
      <x:c r="G51" s="13" t="n">
        <x:v>100</x:v>
      </x:c>
      <x:c r="H51" s="22"/>
      <x:c r="I51" s="16" t="n">
        <x:v>4</x:v>
      </x:c>
      <x:c r="J51" s="20" t="n">
        <x:f>ROUND(IF(ISNUMBER(H51),G51*H51,0)+I51+1E-9,2)</x:f>
        <x:v>4</x:v>
      </x:c>
      <x:c r="K51" s="10" t="str">
        <x:v>NO_PRICE</x:v>
      </x:c>
      <x:c r="L51" s="12" t="str">
        <x:v>Vishay</x:v>
      </x:c>
      <x:c r="M51" s="33" t="str">
        <x:v>R101; R111; R1506; R1520; R1713; R1723; R5644; R6500</x:v>
      </x:c>
      <x:c r="N51" s="34" t="str">
        <x:v>0603</x:v>
      </x:c>
      <x:c r="O51" s="33" t="str">
        <x:v>SELECTED_FAMILY_CODE</x:v>
      </x:c>
      <x:c r="P51" s="33" t="str">
        <x:v>Оценочный резерв — прайс отсутствует</x:v>
      </x:c>
      <x:c r="Q51" s="33" t="str">
        <x:v>https://www.vishay.com/docs/20035/dcrcwe3.pdf</x:v>
      </x:c>
      <x:c r="R51" s="33" t="str"/>
    </x:row>
    <x:row r="52" ht="42" customHeight="1">
      <x:c r="A52" s="9" t="str">
        <x:v>CRCW0603100KFKEA</x:v>
      </x:c>
      <x:c r="B52" s="10" t="n">
        <x:v>53</x:v>
      </x:c>
      <x:c r="C52" s="13" t="n">
        <x:v>73</x:v>
      </x:c>
      <x:c r="D52" s="22"/>
      <x:c r="E52" s="16" t="n">
        <x:v>2.92</x:v>
      </x:c>
      <x:c r="F52" s="20" t="n">
        <x:f>ROUND(IF(ISNUMBER(D52),C52*D52,0)+E52+1E-9,2)</x:f>
        <x:v>2.92</x:v>
      </x:c>
      <x:c r="G52" s="13" t="n">
        <x:v>583</x:v>
      </x:c>
      <x:c r="H52" s="22"/>
      <x:c r="I52" s="16" t="n">
        <x:v>23.32</x:v>
      </x:c>
      <x:c r="J52" s="20" t="n">
        <x:f>ROUND(IF(ISNUMBER(H52),G52*H52,0)+I52+1E-9,2)</x:f>
        <x:v>23.32</x:v>
      </x:c>
      <x:c r="K52" s="10" t="str">
        <x:v>NO_PRICE</x:v>
      </x:c>
      <x:c r="L52" s="2" t="str">
        <x:v>Vishay</x:v>
      </x:c>
      <x:c r="M52" s="31" t="str">
        <x:v>R1101; R1104; R1107; R1110; R1121; R1124; R1127; R1130; R1141; R1144; R1147; R1150; R1161; R1164; R1167; R1170; R1181; R1184; R1187; R1190; R1201; R1204; R1241; R1511; R1703; R1711; R1712; R1721; R1722; R5204; R5302; R5420; R5422; R5424; R5440; R5442; R5444; R5460; R5462; R5464; R5480; R5482; R5484; R5500; R5502; R5504; R5520; R5522; R5524; R5615; R5621; R5645; R6195</x:v>
      </x:c>
      <x:c r="N52" s="32" t="str">
        <x:v>0603</x:v>
      </x:c>
      <x:c r="O52" s="31" t="str">
        <x:v>SELECTED_FAMILY_CODE</x:v>
      </x:c>
      <x:c r="P52" s="31" t="str">
        <x:v>Оценочный резерв — прайс отсутствует</x:v>
      </x:c>
      <x:c r="Q52" s="31" t="str">
        <x:v>https://www.vishay.com/docs/20035/dcrcwe3.pdf</x:v>
      </x:c>
      <x:c r="R52" s="31" t="str"/>
    </x:row>
    <x:row r="53" ht="42" customHeight="1">
      <x:c r="A53" s="9" t="str">
        <x:v>CRCW0603100RFKEA</x:v>
      </x:c>
      <x:c r="B53" s="10" t="n">
        <x:v>38</x:v>
      </x:c>
      <x:c r="C53" s="13" t="n">
        <x:v>58</x:v>
      </x:c>
      <x:c r="D53" s="22"/>
      <x:c r="E53" s="16" t="n">
        <x:v>2.32</x:v>
      </x:c>
      <x:c r="F53" s="20" t="n">
        <x:f>ROUND(IF(ISNUMBER(D53),C53*D53,0)+E53+1E-9,2)</x:f>
        <x:v>2.32</x:v>
      </x:c>
      <x:c r="G53" s="13" t="n">
        <x:v>418</x:v>
      </x:c>
      <x:c r="H53" s="22"/>
      <x:c r="I53" s="16" t="n">
        <x:v>16.72</x:v>
      </x:c>
      <x:c r="J53" s="20" t="n">
        <x:f>ROUND(IF(ISNUMBER(H53),G53*H53,0)+I53+1E-9,2)</x:f>
        <x:v>16.72</x:v>
      </x:c>
      <x:c r="K53" s="10" t="str">
        <x:v>NO_PRICE</x:v>
      </x:c>
      <x:c r="L53" s="12" t="str">
        <x:v>Vishay</x:v>
      </x:c>
      <x:c r="M53" s="33" t="str">
        <x:v>R1102; R1105; R1108; R1111; R1115; R1116; R1122; R1125; R1128; R1131; R1135; R1136; R1142; R1145; R1148; R1151; R1155; R1156; R1162; R1165; R1168; R1171; R1175; R1176; R1182; R1185; R1188; R1191; R1195; R1196; R1202; R1205; R1215; R1216; R6000; R6001; R6050; R6051</x:v>
      </x:c>
      <x:c r="N53" s="34" t="str">
        <x:v>0603</x:v>
      </x:c>
      <x:c r="O53" s="33" t="str">
        <x:v>SELECTED_FAMILY_CODE</x:v>
      </x:c>
      <x:c r="P53" s="33" t="str">
        <x:v>Оценочный резерв — прайс отсутствует</x:v>
      </x:c>
      <x:c r="Q53" s="33" t="str">
        <x:v>https://www.vishay.com/docs/20035/dcrcwe3.pdf</x:v>
      </x:c>
      <x:c r="R53" s="33" t="str"/>
    </x:row>
    <x:row r="54" ht="42" customHeight="1">
      <x:c r="A54" s="8" t="str">
        <x:v>CRCW060310K0FKEA</x:v>
      </x:c>
      <x:c r="B54" s="2" t="n">
        <x:v>111</x:v>
      </x:c>
      <x:c r="C54" s="14" t="n">
        <x:v>131</x:v>
      </x:c>
      <x:c r="D54" s="23" t="n">
        <x:v>0.0158</x:v>
      </x:c>
      <x:c r="E54" s="17" t="n">
        <x:v>0</x:v>
      </x:c>
      <x:c r="F54" s="19" t="n">
        <x:f>ROUND(IF(ISNUMBER(D54),C54*D54,0)+E54+1E-9,2)</x:f>
        <x:v>2.07</x:v>
      </x:c>
      <x:c r="G54" s="14" t="n">
        <x:v>1221</x:v>
      </x:c>
      <x:c r="H54" s="23" t="n">
        <x:v>0.00893</x:v>
      </x:c>
      <x:c r="I54" s="17" t="n">
        <x:v>0</x:v>
      </x:c>
      <x:c r="J54" s="19" t="n">
        <x:f>ROUND(IF(ISNUMBER(H54),G54*H54,0)+I54+1E-9,2)</x:f>
        <x:v>10.9</x:v>
      </x:c>
      <x:c r="K54" s="2" t="str">
        <x:v>CATALOG_PRICE</x:v>
      </x:c>
      <x:c r="L54" s="2" t="str">
        <x:v>Vishay</x:v>
      </x:c>
      <x:c r="M54" s="31" t="str">
        <x:v>R102; R103; R104; R108; R110; R1103; R1106; R1109; R1112; R1114; R1117; R1123; R1126; R1129; R1132; R1134; R1137; R1143; R1146; R1149; R1152; R1154; R1157; R1163; R1166; R1169; R1172; R1174; R1177; R1183; R1186; R1189; R1192; R1194; R1197; R1203; R1206; R1214; R1217; R1501; R1504; R1505; R1512; R1600; R1603; R1606; R1609; R1612; R1701; R1702; R297; R397; R5004; R5008; R5054; R5058; R5101; R5102; R5103; R5104; R5105; R5106; R5303; R5400; R5426; R5446; R5466; R5486; R5506; R5526; R5604; R5605; R5613; R5614; R5618; R5619; R5625; R5640; R5641; R5643; R5662; R5665; R6002; R6003; R6004; R6005; R6052; R6053; R6054; R6055; R6193; R6194; R6203; R6207; R6253; R6257; R760; R763; R766; R769; R772; R775; R778; R781; R792; R801; R802; R803; R804; R805; R806</x:v>
      </x:c>
      <x:c r="N54" s="32" t="str">
        <x:v>0603</x:v>
      </x:c>
      <x:c r="O54" s="31" t="str">
        <x:v>SELECTED_FAMILY_CODE</x:v>
      </x:c>
      <x:c r="P54" s="31" t="str">
        <x:v>https://www.digikey.com/en/products/detail/vishay-dale/CRCW060310K0FKEA/1179924</x:v>
      </x:c>
      <x:c r="Q54" s="31" t="str">
        <x:v>https://www.vishay.com/docs/20035/dcrcwe3.pdf</x:v>
      </x:c>
      <x:c r="R54" s="31" t="str"/>
    </x:row>
    <x:row r="55" ht="42" customHeight="1">
      <x:c r="A55" s="9" t="str">
        <x:v>CRCW060310R0FKEA</x:v>
      </x:c>
      <x:c r="B55" s="10" t="n">
        <x:v>29</x:v>
      </x:c>
      <x:c r="C55" s="13" t="n">
        <x:v>49</x:v>
      </x:c>
      <x:c r="D55" s="22"/>
      <x:c r="E55" s="16" t="n">
        <x:v>1.96</x:v>
      </x:c>
      <x:c r="F55" s="20" t="n">
        <x:f>ROUND(IF(ISNUMBER(D55),C55*D55,0)+E55+1E-9,2)</x:f>
        <x:v>1.96</x:v>
      </x:c>
      <x:c r="G55" s="13" t="n">
        <x:v>319</x:v>
      </x:c>
      <x:c r="H55" s="22"/>
      <x:c r="I55" s="16" t="n">
        <x:v>12.76</x:v>
      </x:c>
      <x:c r="J55" s="20" t="n">
        <x:f>ROUND(IF(ISNUMBER(H55),G55*H55,0)+I55+1E-9,2)</x:f>
        <x:v>12.76</x:v>
      </x:c>
      <x:c r="K55" s="10" t="str">
        <x:v>NO_PRICE</x:v>
      </x:c>
      <x:c r="L55" s="12" t="str">
        <x:v>Vishay</x:v>
      </x:c>
      <x:c r="M55" s="33" t="str">
        <x:v>R201; R202; R204; R205; R206; R207; R208; R210; R211; R214; R226; R301; R302; R304; R305; R306; R307; R308; R310; R311; R314; R326; R5425; R5445; R5465; R5485; R5505; R5525; R5606</x:v>
      </x:c>
      <x:c r="N55" s="34" t="str">
        <x:v>0603</x:v>
      </x:c>
      <x:c r="O55" s="33" t="str">
        <x:v>SELECTED_FAMILY_CODE</x:v>
      </x:c>
      <x:c r="P55" s="33" t="str">
        <x:v>Оценочный резерв — прайс отсутствует</x:v>
      </x:c>
      <x:c r="Q55" s="33" t="str">
        <x:v>https://www.vishay.com/docs/20035/dcrcwe3.pdf</x:v>
      </x:c>
      <x:c r="R55" s="33" t="str"/>
    </x:row>
    <x:row r="56" ht="42" customHeight="1">
      <x:c r="A56" s="9" t="str">
        <x:v>CRCW06031K00FKEA</x:v>
      </x:c>
      <x:c r="B56" s="10" t="n">
        <x:v>42</x:v>
      </x:c>
      <x:c r="C56" s="13" t="n">
        <x:v>62</x:v>
      </x:c>
      <x:c r="D56" s="22"/>
      <x:c r="E56" s="16" t="n">
        <x:v>2.48</x:v>
      </x:c>
      <x:c r="F56" s="20" t="n">
        <x:f>ROUND(IF(ISNUMBER(D56),C56*D56,0)+E56+1E-9,2)</x:f>
        <x:v>2.48</x:v>
      </x:c>
      <x:c r="G56" s="13" t="n">
        <x:v>462</x:v>
      </x:c>
      <x:c r="H56" s="22"/>
      <x:c r="I56" s="16" t="n">
        <x:v>18.48</x:v>
      </x:c>
      <x:c r="J56" s="20" t="n">
        <x:f>ROUND(IF(ISNUMBER(H56),G56*H56,0)+I56+1E-9,2)</x:f>
        <x:v>18.48</x:v>
      </x:c>
      <x:c r="K56" s="10" t="str">
        <x:v>NO_PRICE</x:v>
      </x:c>
      <x:c r="L56" s="2" t="str">
        <x:v>Vishay</x:v>
      </x:c>
      <x:c r="M56" s="31" t="str">
        <x:v>R1242; R1510; R227; R228; R229; R327; R328; R329; R5003; R5007; R5053; R5057; R5401; R5600; R5601; R5616; R5617; R5622; R5626; R5627; R5628; R6202; R6206; R6252; R6256; R702; R705; R708; R711; R714; R717; R720; R723; R726; R729; R732; R735; R738; R741; R744; R747; R750</x:v>
      </x:c>
      <x:c r="N56" s="32" t="str">
        <x:v>0603</x:v>
      </x:c>
      <x:c r="O56" s="31" t="str">
        <x:v>SELECTED_FAMILY_CODE</x:v>
      </x:c>
      <x:c r="P56" s="31" t="str">
        <x:v>Оценочный резерв — прайс отсутствует</x:v>
      </x:c>
      <x:c r="Q56" s="31" t="str">
        <x:v>https://www.vishay.com/docs/20035/dcrcwe3.pdf</x:v>
      </x:c>
      <x:c r="R56" s="31" t="str"/>
    </x:row>
    <x:row r="57" ht="42" customHeight="1">
      <x:c r="A57" s="9" t="str">
        <x:v>CRCW06031M00FKEA</x:v>
      </x:c>
      <x:c r="B57" s="10" t="n">
        <x:v>9</x:v>
      </x:c>
      <x:c r="C57" s="13" t="n">
        <x:v>29</x:v>
      </x:c>
      <x:c r="D57" s="22"/>
      <x:c r="E57" s="16" t="n">
        <x:v>1.16</x:v>
      </x:c>
      <x:c r="F57" s="20" t="n">
        <x:f>ROUND(IF(ISNUMBER(D57),C57*D57,0)+E57+1E-9,2)</x:f>
        <x:v>1.16</x:v>
      </x:c>
      <x:c r="G57" s="13" t="n">
        <x:v>110</x:v>
      </x:c>
      <x:c r="H57" s="22"/>
      <x:c r="I57" s="16" t="n">
        <x:v>4.4</x:v>
      </x:c>
      <x:c r="J57" s="20" t="n">
        <x:f>ROUND(IF(ISNUMBER(H57),G57*H57,0)+I57+1E-9,2)</x:f>
        <x:v>4.4</x:v>
      </x:c>
      <x:c r="K57" s="10" t="str">
        <x:v>NO_PRICE</x:v>
      </x:c>
      <x:c r="L57" s="12" t="str">
        <x:v>Vishay</x:v>
      </x:c>
      <x:c r="M57" s="33" t="str">
        <x:v>R5005; R5006; R5055; R5056; R5205; R6204; R6205; R6254; R6255</x:v>
      </x:c>
      <x:c r="N57" s="34" t="str">
        <x:v>0603</x:v>
      </x:c>
      <x:c r="O57" s="33" t="str">
        <x:v>SELECTED_FAMILY_CODE</x:v>
      </x:c>
      <x:c r="P57" s="33" t="str">
        <x:v>Оценочный резерв — прайс отсутствует</x:v>
      </x:c>
      <x:c r="Q57" s="33" t="str">
        <x:v>https://www.vishay.com/docs/20035/dcrcwe3.pdf</x:v>
      </x:c>
      <x:c r="R57" s="33" t="str"/>
    </x:row>
    <x:row r="58" ht="42" customHeight="1">
      <x:c r="A58" s="9" t="str">
        <x:v>CRCW060320K0FKEA</x:v>
      </x:c>
      <x:c r="B58" s="10" t="n">
        <x:v>3</x:v>
      </x:c>
      <x:c r="C58" s="13" t="n">
        <x:v>23</x:v>
      </x:c>
      <x:c r="D58" s="22"/>
      <x:c r="E58" s="16" t="n">
        <x:v>0.92</x:v>
      </x:c>
      <x:c r="F58" s="20" t="n">
        <x:f>ROUND(IF(ISNUMBER(D58),C58*D58,0)+E58+1E-9,2)</x:f>
        <x:v>0.92</x:v>
      </x:c>
      <x:c r="G58" s="13" t="n">
        <x:v>50</x:v>
      </x:c>
      <x:c r="H58" s="22"/>
      <x:c r="I58" s="16" t="n">
        <x:v>2</x:v>
      </x:c>
      <x:c r="J58" s="20" t="n">
        <x:f>ROUND(IF(ISNUMBER(H58),G58*H58,0)+I58+1E-9,2)</x:f>
        <x:v>2</x:v>
      </x:c>
      <x:c r="K58" s="10" t="str">
        <x:v>NO_PRICE</x:v>
      </x:c>
      <x:c r="L58" s="2" t="str">
        <x:v>Vishay</x:v>
      </x:c>
      <x:c r="M58" s="31" t="str">
        <x:v>R5610; R5611; R5612</x:v>
      </x:c>
      <x:c r="N58" s="32" t="str">
        <x:v>0603</x:v>
      </x:c>
      <x:c r="O58" s="31" t="str">
        <x:v>SELECTED_FAMILY_CODE</x:v>
      </x:c>
      <x:c r="P58" s="31" t="str">
        <x:v>Оценочный резерв — прайс отсутствует</x:v>
      </x:c>
      <x:c r="Q58" s="31" t="str">
        <x:v>https://www.vishay.com/docs/20035/dcrcwe3.pdf</x:v>
      </x:c>
      <x:c r="R58" s="31" t="str"/>
    </x:row>
    <x:row r="59" ht="42" customHeight="1">
      <x:c r="A59" s="9" t="str">
        <x:v>CRCW0603220RFKEA</x:v>
      </x:c>
      <x:c r="B59" s="10" t="n">
        <x:v>2</x:v>
      </x:c>
      <x:c r="C59" s="13" t="n">
        <x:v>22</x:v>
      </x:c>
      <x:c r="D59" s="22"/>
      <x:c r="E59" s="16" t="n">
        <x:v>0.88</x:v>
      </x:c>
      <x:c r="F59" s="20" t="n">
        <x:f>ROUND(IF(ISNUMBER(D59),C59*D59,0)+E59+1E-9,2)</x:f>
        <x:v>0.88</x:v>
      </x:c>
      <x:c r="G59" s="13" t="n">
        <x:v>40</x:v>
      </x:c>
      <x:c r="H59" s="22"/>
      <x:c r="I59" s="16" t="n">
        <x:v>1.6</x:v>
      </x:c>
      <x:c r="J59" s="20" t="n">
        <x:f>ROUND(IF(ISNUMBER(H59),G59*H59,0)+I59+1E-9,2)</x:f>
        <x:v>1.6</x:v>
      </x:c>
      <x:c r="K59" s="10" t="str">
        <x:v>NO_PRICE</x:v>
      </x:c>
      <x:c r="L59" s="12" t="str">
        <x:v>Vishay</x:v>
      </x:c>
      <x:c r="M59" s="33" t="str">
        <x:v>R217; R317</x:v>
      </x:c>
      <x:c r="N59" s="34" t="str">
        <x:v>0603</x:v>
      </x:c>
      <x:c r="O59" s="33" t="str">
        <x:v>SELECTED_FAMILY_CODE</x:v>
      </x:c>
      <x:c r="P59" s="33" t="str">
        <x:v>Оценочный резерв — прайс отсутствует</x:v>
      </x:c>
      <x:c r="Q59" s="33" t="str">
        <x:v>https://www.vishay.com/docs/20035/dcrcwe3.pdf</x:v>
      </x:c>
      <x:c r="R59" s="33" t="str"/>
    </x:row>
    <x:row r="60" ht="42" customHeight="1">
      <x:c r="A60" s="9" t="str">
        <x:v>CRCW060322K0FKEA</x:v>
      </x:c>
      <x:c r="B60" s="10" t="n">
        <x:v>1</x:v>
      </x:c>
      <x:c r="C60" s="13" t="n">
        <x:v>21</x:v>
      </x:c>
      <x:c r="D60" s="22"/>
      <x:c r="E60" s="16" t="n">
        <x:v>0.84</x:v>
      </x:c>
      <x:c r="F60" s="20" t="n">
        <x:f>ROUND(IF(ISNUMBER(D60),C60*D60,0)+E60+1E-9,2)</x:f>
        <x:v>0.84</x:v>
      </x:c>
      <x:c r="G60" s="13" t="n">
        <x:v>30</x:v>
      </x:c>
      <x:c r="H60" s="22"/>
      <x:c r="I60" s="16" t="n">
        <x:v>1.2</x:v>
      </x:c>
      <x:c r="J60" s="20" t="n">
        <x:f>ROUND(IF(ISNUMBER(H60),G60*H60,0)+I60+1E-9,2)</x:f>
        <x:v>1.2</x:v>
      </x:c>
      <x:c r="K60" s="10" t="str">
        <x:v>NO_PRICE</x:v>
      </x:c>
      <x:c r="L60" s="2" t="str">
        <x:v>Vishay</x:v>
      </x:c>
      <x:c r="M60" s="31" t="str">
        <x:v>R5607</x:v>
      </x:c>
      <x:c r="N60" s="32" t="str">
        <x:v>0603</x:v>
      </x:c>
      <x:c r="O60" s="31" t="str">
        <x:v>SELECTED_FAMILY_CODE</x:v>
      </x:c>
      <x:c r="P60" s="31" t="str">
        <x:v>Оценочный резерв — прайс отсутствует</x:v>
      </x:c>
      <x:c r="Q60" s="31" t="str">
        <x:v>https://www.vishay.com/docs/20035/dcrcwe3.pdf</x:v>
      </x:c>
      <x:c r="R60" s="31" t="str"/>
    </x:row>
    <x:row r="61" ht="42" customHeight="1">
      <x:c r="A61" s="9" t="str">
        <x:v>CRCW060322R0FKEA</x:v>
      </x:c>
      <x:c r="B61" s="10" t="n">
        <x:v>2</x:v>
      </x:c>
      <x:c r="C61" s="13" t="n">
        <x:v>22</x:v>
      </x:c>
      <x:c r="D61" s="22"/>
      <x:c r="E61" s="16" t="n">
        <x:v>0.88</x:v>
      </x:c>
      <x:c r="F61" s="20" t="n">
        <x:f>ROUND(IF(ISNUMBER(D61),C61*D61,0)+E61+1E-9,2)</x:f>
        <x:v>0.88</x:v>
      </x:c>
      <x:c r="G61" s="13" t="n">
        <x:v>40</x:v>
      </x:c>
      <x:c r="H61" s="22"/>
      <x:c r="I61" s="16" t="n">
        <x:v>1.6</x:v>
      </x:c>
      <x:c r="J61" s="20" t="n">
        <x:f>ROUND(IF(ISNUMBER(H61),G61*H61,0)+I61+1E-9,2)</x:f>
        <x:v>1.6</x:v>
      </x:c>
      <x:c r="K61" s="10" t="str">
        <x:v>NO_PRICE</x:v>
      </x:c>
      <x:c r="L61" s="12" t="str">
        <x:v>Vishay</x:v>
      </x:c>
      <x:c r="M61" s="33" t="str">
        <x:v>R1521; R1522</x:v>
      </x:c>
      <x:c r="N61" s="34" t="str">
        <x:v>0603</x:v>
      </x:c>
      <x:c r="O61" s="33" t="str">
        <x:v>SELECTED_FAMILY_CODE</x:v>
      </x:c>
      <x:c r="P61" s="33" t="str">
        <x:v>Оценочный резерв — прайс отсутствует</x:v>
      </x:c>
      <x:c r="Q61" s="33" t="str">
        <x:v>https://www.vishay.com/docs/20035/dcrcwe3.pdf</x:v>
      </x:c>
      <x:c r="R61" s="33" t="str"/>
    </x:row>
    <x:row r="62" ht="42" customHeight="1">
      <x:c r="A62" s="9" t="str">
        <x:v>CRCW060327K0FKEA</x:v>
      </x:c>
      <x:c r="B62" s="10" t="n">
        <x:v>2</x:v>
      </x:c>
      <x:c r="C62" s="13" t="n">
        <x:v>22</x:v>
      </x:c>
      <x:c r="D62" s="22"/>
      <x:c r="E62" s="16" t="n">
        <x:v>0.88</x:v>
      </x:c>
      <x:c r="F62" s="20" t="n">
        <x:f>ROUND(IF(ISNUMBER(D62),C62*D62,0)+E62+1E-9,2)</x:f>
        <x:v>0.88</x:v>
      </x:c>
      <x:c r="G62" s="13" t="n">
        <x:v>40</x:v>
      </x:c>
      <x:c r="H62" s="22"/>
      <x:c r="I62" s="16" t="n">
        <x:v>1.6</x:v>
      </x:c>
      <x:c r="J62" s="20" t="n">
        <x:f>ROUND(IF(ISNUMBER(H62),G62*H62,0)+I62+1E-9,2)</x:f>
        <x:v>1.6</x:v>
      </x:c>
      <x:c r="K62" s="10" t="str">
        <x:v>NO_PRICE</x:v>
      </x:c>
      <x:c r="L62" s="2" t="str">
        <x:v>Vishay</x:v>
      </x:c>
      <x:c r="M62" s="31" t="str">
        <x:v>R5620; R5623</x:v>
      </x:c>
      <x:c r="N62" s="32" t="str">
        <x:v>0603</x:v>
      </x:c>
      <x:c r="O62" s="31" t="str">
        <x:v>SELECTED_FAMILY_CODE</x:v>
      </x:c>
      <x:c r="P62" s="31" t="str">
        <x:v>Оценочный резерв — прайс отсутствует</x:v>
      </x:c>
      <x:c r="Q62" s="31" t="str">
        <x:v>https://www.vishay.com/docs/20035/dcrcwe3.pdf</x:v>
      </x:c>
      <x:c r="R62" s="31" t="str"/>
    </x:row>
    <x:row r="63" ht="42" customHeight="1">
      <x:c r="A63" s="9" t="str">
        <x:v>CRCW06032K20FKEA</x:v>
      </x:c>
      <x:c r="B63" s="10" t="n">
        <x:v>2</x:v>
      </x:c>
      <x:c r="C63" s="13" t="n">
        <x:v>22</x:v>
      </x:c>
      <x:c r="D63" s="22"/>
      <x:c r="E63" s="16" t="n">
        <x:v>0.88</x:v>
      </x:c>
      <x:c r="F63" s="20" t="n">
        <x:f>ROUND(IF(ISNUMBER(D63),C63*D63,0)+E63+1E-9,2)</x:f>
        <x:v>0.88</x:v>
      </x:c>
      <x:c r="G63" s="13" t="n">
        <x:v>40</x:v>
      </x:c>
      <x:c r="H63" s="22"/>
      <x:c r="I63" s="16" t="n">
        <x:v>1.6</x:v>
      </x:c>
      <x:c r="J63" s="20" t="n">
        <x:f>ROUND(IF(ISNUMBER(H63),G63*H63,0)+I63+1E-9,2)</x:f>
        <x:v>1.6</x:v>
      </x:c>
      <x:c r="K63" s="10" t="str">
        <x:v>NO_PRICE</x:v>
      </x:c>
      <x:c r="L63" s="12" t="str">
        <x:v>Vishay</x:v>
      </x:c>
      <x:c r="M63" s="33" t="str">
        <x:v>R5642; R5661</x:v>
      </x:c>
      <x:c r="N63" s="34" t="str">
        <x:v>0603</x:v>
      </x:c>
      <x:c r="O63" s="33" t="str">
        <x:v>SELECTED_FAMILY_CODE</x:v>
      </x:c>
      <x:c r="P63" s="33" t="str">
        <x:v>Оценочный резерв — прайс отсутствует</x:v>
      </x:c>
      <x:c r="Q63" s="33" t="str">
        <x:v>https://www.vishay.com/docs/20035/dcrcwe3.pdf</x:v>
      </x:c>
      <x:c r="R63" s="33" t="str"/>
    </x:row>
    <x:row r="64" ht="42" customHeight="1">
      <x:c r="A64" s="9" t="str">
        <x:v>CRCW060333R0FKEA</x:v>
      </x:c>
      <x:c r="B64" s="10" t="n">
        <x:v>2</x:v>
      </x:c>
      <x:c r="C64" s="13" t="n">
        <x:v>22</x:v>
      </x:c>
      <x:c r="D64" s="22"/>
      <x:c r="E64" s="16" t="n">
        <x:v>0.88</x:v>
      </x:c>
      <x:c r="F64" s="20" t="n">
        <x:f>ROUND(IF(ISNUMBER(D64),C64*D64,0)+E64+1E-9,2)</x:f>
        <x:v>0.88</x:v>
      </x:c>
      <x:c r="G64" s="13" t="n">
        <x:v>40</x:v>
      </x:c>
      <x:c r="H64" s="22"/>
      <x:c r="I64" s="16" t="n">
        <x:v>1.6</x:v>
      </x:c>
      <x:c r="J64" s="20" t="n">
        <x:f>ROUND(IF(ISNUMBER(H64),G64*H64,0)+I64+1E-9,2)</x:f>
        <x:v>1.6</x:v>
      </x:c>
      <x:c r="K64" s="10" t="str">
        <x:v>NO_PRICE</x:v>
      </x:c>
      <x:c r="L64" s="2" t="str">
        <x:v>Vishay</x:v>
      </x:c>
      <x:c r="M64" s="31" t="str">
        <x:v>R1243; R1244</x:v>
      </x:c>
      <x:c r="N64" s="32" t="str">
        <x:v>0603</x:v>
      </x:c>
      <x:c r="O64" s="31" t="str">
        <x:v>SELECTED_FAMILY_CODE</x:v>
      </x:c>
      <x:c r="P64" s="31" t="str">
        <x:v>Оценочный резерв — прайс отсутствует</x:v>
      </x:c>
      <x:c r="Q64" s="31" t="str">
        <x:v>https://www.vishay.com/docs/20035/dcrcwe3.pdf</x:v>
      </x:c>
      <x:c r="R64" s="31" t="str"/>
    </x:row>
    <x:row r="65" ht="42" customHeight="1">
      <x:c r="A65" s="9" t="str">
        <x:v>CRCW060339K2FKEA</x:v>
      </x:c>
      <x:c r="B65" s="10" t="n">
        <x:v>6</x:v>
      </x:c>
      <x:c r="C65" s="13" t="n">
        <x:v>26</x:v>
      </x:c>
      <x:c r="D65" s="22"/>
      <x:c r="E65" s="16" t="n">
        <x:v>1.04</x:v>
      </x:c>
      <x:c r="F65" s="20" t="n">
        <x:f>ROUND(IF(ISNUMBER(D65),C65*D65,0)+E65+1E-9,2)</x:f>
        <x:v>1.04</x:v>
      </x:c>
      <x:c r="G65" s="13" t="n">
        <x:v>80</x:v>
      </x:c>
      <x:c r="H65" s="22"/>
      <x:c r="I65" s="16" t="n">
        <x:v>3.2</x:v>
      </x:c>
      <x:c r="J65" s="20" t="n">
        <x:f>ROUND(IF(ISNUMBER(H65),G65*H65,0)+I65+1E-9,2)</x:f>
        <x:v>3.2</x:v>
      </x:c>
      <x:c r="K65" s="10" t="str">
        <x:v>NO_PRICE</x:v>
      </x:c>
      <x:c r="L65" s="12" t="str">
        <x:v>Vishay</x:v>
      </x:c>
      <x:c r="M65" s="33" t="str">
        <x:v>R5423; R5443; R5463; R5483; R5503; R5523</x:v>
      </x:c>
      <x:c r="N65" s="34" t="str">
        <x:v>0603</x:v>
      </x:c>
      <x:c r="O65" s="33" t="str">
        <x:v>SELECTED_FAMILY_CODE</x:v>
      </x:c>
      <x:c r="P65" s="33" t="str">
        <x:v>Оценочный резерв — прайс отсутствует</x:v>
      </x:c>
      <x:c r="Q65" s="33" t="str">
        <x:v>https://www.vishay.com/docs/20035/dcrcwe3.pdf</x:v>
      </x:c>
      <x:c r="R65" s="33" t="str"/>
    </x:row>
    <x:row r="66" ht="42" customHeight="1">
      <x:c r="A66" s="9" t="str">
        <x:v>CRCW06033K30FKEA</x:v>
      </x:c>
      <x:c r="B66" s="10" t="n">
        <x:v>1</x:v>
      </x:c>
      <x:c r="C66" s="13" t="n">
        <x:v>21</x:v>
      </x:c>
      <x:c r="D66" s="22"/>
      <x:c r="E66" s="16" t="n">
        <x:v>0.84</x:v>
      </x:c>
      <x:c r="F66" s="20" t="n">
        <x:f>ROUND(IF(ISNUMBER(D66),C66*D66,0)+E66+1E-9,2)</x:f>
        <x:v>0.84</x:v>
      </x:c>
      <x:c r="G66" s="13" t="n">
        <x:v>30</x:v>
      </x:c>
      <x:c r="H66" s="22"/>
      <x:c r="I66" s="16" t="n">
        <x:v>1.2</x:v>
      </x:c>
      <x:c r="J66" s="20" t="n">
        <x:f>ROUND(IF(ISNUMBER(H66),G66*H66,0)+I66+1E-9,2)</x:f>
        <x:v>1.2</x:v>
      </x:c>
      <x:c r="K66" s="10" t="str">
        <x:v>NO_PRICE</x:v>
      </x:c>
      <x:c r="L66" s="2" t="str">
        <x:v>Vishay</x:v>
      </x:c>
      <x:c r="M66" s="31" t="str">
        <x:v>R5624</x:v>
      </x:c>
      <x:c r="N66" s="32" t="str">
        <x:v>0603</x:v>
      </x:c>
      <x:c r="O66" s="31" t="str">
        <x:v>SELECTED_FAMILY_CODE</x:v>
      </x:c>
      <x:c r="P66" s="31" t="str">
        <x:v>Оценочный резерв — прайс отсутствует</x:v>
      </x:c>
      <x:c r="Q66" s="31" t="str">
        <x:v>https://www.vishay.com/docs/20035/dcrcwe3.pdf</x:v>
      </x:c>
      <x:c r="R66" s="31" t="str"/>
    </x:row>
    <x:row r="67" ht="42" customHeight="1">
      <x:c r="A67" s="9" t="str">
        <x:v>CRCW060347K0FKEA</x:v>
      </x:c>
      <x:c r="B67" s="10" t="n">
        <x:v>19</x:v>
      </x:c>
      <x:c r="C67" s="13" t="n">
        <x:v>39</x:v>
      </x:c>
      <x:c r="D67" s="22"/>
      <x:c r="E67" s="16" t="n">
        <x:v>1.56</x:v>
      </x:c>
      <x:c r="F67" s="20" t="n">
        <x:f>ROUND(IF(ISNUMBER(D67),C67*D67,0)+E67+1E-9,2)</x:f>
        <x:v>1.56</x:v>
      </x:c>
      <x:c r="G67" s="13" t="n">
        <x:v>210</x:v>
      </x:c>
      <x:c r="H67" s="22"/>
      <x:c r="I67" s="16" t="n">
        <x:v>8.4</x:v>
      </x:c>
      <x:c r="J67" s="20" t="n">
        <x:f>ROUND(IF(ISNUMBER(H67),G67*H67,0)+I67+1E-9,2)</x:f>
        <x:v>8.4</x:v>
      </x:c>
      <x:c r="K67" s="10" t="str">
        <x:v>NO_PRICE</x:v>
      </x:c>
      <x:c r="L67" s="12" t="str">
        <x:v>Vishay</x:v>
      </x:c>
      <x:c r="M67" s="33" t="str">
        <x:v>R1523; R1524; R1525; R1526; R1527; R1528; R1601; R1604; R1607; R1610; R1613; R761; R764; R767; R770; R773; R776; R779; R782</x:v>
      </x:c>
      <x:c r="N67" s="34" t="str">
        <x:v>0603</x:v>
      </x:c>
      <x:c r="O67" s="33" t="str">
        <x:v>SELECTED_FAMILY_CODE</x:v>
      </x:c>
      <x:c r="P67" s="33" t="str">
        <x:v>Оценочный резерв — прайс отсутствует</x:v>
      </x:c>
      <x:c r="Q67" s="33" t="str">
        <x:v>https://www.vishay.com/docs/20035/dcrcwe3.pdf</x:v>
      </x:c>
      <x:c r="R67" s="33" t="str"/>
    </x:row>
    <x:row r="68" ht="42" customHeight="1">
      <x:c r="A68" s="9" t="str">
        <x:v>CRCW060347R0FKEA</x:v>
      </x:c>
      <x:c r="B68" s="10" t="n">
        <x:v>10</x:v>
      </x:c>
      <x:c r="C68" s="13" t="n">
        <x:v>30</x:v>
      </x:c>
      <x:c r="D68" s="22"/>
      <x:c r="E68" s="16" t="n">
        <x:v>1.2</x:v>
      </x:c>
      <x:c r="F68" s="20" t="n">
        <x:f>ROUND(IF(ISNUMBER(D68),C68*D68,0)+E68+1E-9,2)</x:f>
        <x:v>1.2</x:v>
      </x:c>
      <x:c r="G68" s="13" t="n">
        <x:v>120</x:v>
      </x:c>
      <x:c r="H68" s="22"/>
      <x:c r="I68" s="16" t="n">
        <x:v>4.8</x:v>
      </x:c>
      <x:c r="J68" s="20" t="n">
        <x:f>ROUND(IF(ISNUMBER(H68),G68*H68,0)+I68+1E-9,2)</x:f>
        <x:v>4.8</x:v>
      </x:c>
      <x:c r="K68" s="10" t="str">
        <x:v>NO_PRICE</x:v>
      </x:c>
      <x:c r="L68" s="2" t="str">
        <x:v>Vishay</x:v>
      </x:c>
      <x:c r="M68" s="31" t="str">
        <x:v>R1113; R1133; R1153; R1173; R1193; R1213; R5608; R6190; R6191; R6192</x:v>
      </x:c>
      <x:c r="N68" s="32" t="str">
        <x:v>0603</x:v>
      </x:c>
      <x:c r="O68" s="31" t="str">
        <x:v>SELECTED_FAMILY_CODE</x:v>
      </x:c>
      <x:c r="P68" s="31" t="str">
        <x:v>Оценочный резерв — прайс отсутствует</x:v>
      </x:c>
      <x:c r="Q68" s="31" t="str">
        <x:v>https://www.vishay.com/docs/20035/dcrcwe3.pdf</x:v>
      </x:c>
      <x:c r="R68" s="31" t="str"/>
    </x:row>
    <x:row r="69" ht="42" customHeight="1">
      <x:c r="A69" s="9" t="str">
        <x:v>CRCW06034K70FKEA</x:v>
      </x:c>
      <x:c r="B69" s="10" t="n">
        <x:v>3</x:v>
      </x:c>
      <x:c r="C69" s="13" t="n">
        <x:v>23</x:v>
      </x:c>
      <x:c r="D69" s="22"/>
      <x:c r="E69" s="16" t="n">
        <x:v>0.92</x:v>
      </x:c>
      <x:c r="F69" s="20" t="n">
        <x:f>ROUND(IF(ISNUMBER(D69),C69*D69,0)+E69+1E-9,2)</x:f>
        <x:v>0.92</x:v>
      </x:c>
      <x:c r="G69" s="13" t="n">
        <x:v>50</x:v>
      </x:c>
      <x:c r="H69" s="22"/>
      <x:c r="I69" s="16" t="n">
        <x:v>2</x:v>
      </x:c>
      <x:c r="J69" s="20" t="n">
        <x:f>ROUND(IF(ISNUMBER(H69),G69*H69,0)+I69+1E-9,2)</x:f>
        <x:v>2</x:v>
      </x:c>
      <x:c r="K69" s="10" t="str">
        <x:v>NO_PRICE</x:v>
      </x:c>
      <x:c r="L69" s="12" t="str">
        <x:v>Vishay</x:v>
      </x:c>
      <x:c r="M69" s="33" t="str">
        <x:v>R107; R1503; R5664</x:v>
      </x:c>
      <x:c r="N69" s="34" t="str">
        <x:v>0603</x:v>
      </x:c>
      <x:c r="O69" s="33" t="str">
        <x:v>SELECTED_FAMILY_CODE</x:v>
      </x:c>
      <x:c r="P69" s="33" t="str">
        <x:v>Оценочный резерв — прайс отсутствует</x:v>
      </x:c>
      <x:c r="Q69" s="33" t="str">
        <x:v>https://www.vishay.com/docs/20035/dcrcwe3.pdf</x:v>
      </x:c>
      <x:c r="R69" s="33" t="str"/>
    </x:row>
    <x:row r="70" ht="42" customHeight="1">
      <x:c r="A70" s="9" t="str">
        <x:v>CRCW06035R10FKEA</x:v>
      </x:c>
      <x:c r="B70" s="10" t="n">
        <x:v>2</x:v>
      </x:c>
      <x:c r="C70" s="13" t="n">
        <x:v>22</x:v>
      </x:c>
      <x:c r="D70" s="22"/>
      <x:c r="E70" s="16" t="n">
        <x:v>0.88</x:v>
      </x:c>
      <x:c r="F70" s="20" t="n">
        <x:f>ROUND(IF(ISNUMBER(D70),C70*D70,0)+E70+1E-9,2)</x:f>
        <x:v>0.88</x:v>
      </x:c>
      <x:c r="G70" s="13" t="n">
        <x:v>40</x:v>
      </x:c>
      <x:c r="H70" s="22"/>
      <x:c r="I70" s="16" t="n">
        <x:v>1.6</x:v>
      </x:c>
      <x:c r="J70" s="20" t="n">
        <x:f>ROUND(IF(ISNUMBER(H70),G70*H70,0)+I70+1E-9,2)</x:f>
        <x:v>1.6</x:v>
      </x:c>
      <x:c r="K70" s="10" t="str">
        <x:v>NO_PRICE</x:v>
      </x:c>
      <x:c r="L70" s="2" t="str">
        <x:v>Vishay</x:v>
      </x:c>
      <x:c r="M70" s="31" t="str">
        <x:v>R219; R319</x:v>
      </x:c>
      <x:c r="N70" s="32" t="str">
        <x:v>0603</x:v>
      </x:c>
      <x:c r="O70" s="31" t="str">
        <x:v>SELECTED_FAMILY_CODE</x:v>
      </x:c>
      <x:c r="P70" s="31" t="str">
        <x:v>Оценочный резерв — прайс отсутствует</x:v>
      </x:c>
      <x:c r="Q70" s="31" t="str">
        <x:v>https://www.vishay.com/docs/20035/dcrcwe3.pdf</x:v>
      </x:c>
      <x:c r="R70" s="31" t="str"/>
    </x:row>
    <x:row r="71" ht="42" customHeight="1">
      <x:c r="A71" s="9" t="str">
        <x:v>CRCW060361R9FKEA</x:v>
      </x:c>
      <x:c r="B71" s="10" t="n">
        <x:v>1</x:v>
      </x:c>
      <x:c r="C71" s="13" t="n">
        <x:v>21</x:v>
      </x:c>
      <x:c r="D71" s="22"/>
      <x:c r="E71" s="16" t="n">
        <x:v>0.84</x:v>
      </x:c>
      <x:c r="F71" s="20" t="n">
        <x:f>ROUND(IF(ISNUMBER(D71),C71*D71,0)+E71+1E-9,2)</x:f>
        <x:v>0.84</x:v>
      </x:c>
      <x:c r="G71" s="13" t="n">
        <x:v>30</x:v>
      </x:c>
      <x:c r="H71" s="22"/>
      <x:c r="I71" s="16" t="n">
        <x:v>1.2</x:v>
      </x:c>
      <x:c r="J71" s="20" t="n">
        <x:f>ROUND(IF(ISNUMBER(H71),G71*H71,0)+I71+1E-9,2)</x:f>
        <x:v>1.2</x:v>
      </x:c>
      <x:c r="K71" s="10" t="str">
        <x:v>NO_PRICE</x:v>
      </x:c>
      <x:c r="L71" s="12" t="str">
        <x:v>Vishay</x:v>
      </x:c>
      <x:c r="M71" s="33" t="str">
        <x:v>R5609</x:v>
      </x:c>
      <x:c r="N71" s="34" t="str">
        <x:v>0603</x:v>
      </x:c>
      <x:c r="O71" s="33" t="str">
        <x:v>SELECTED_FAMILY_CODE</x:v>
      </x:c>
      <x:c r="P71" s="33" t="str">
        <x:v>Оценочный резерв — прайс отсутствует</x:v>
      </x:c>
      <x:c r="Q71" s="33" t="str">
        <x:v>https://www.vishay.com/docs/20035/dcrcwe3.pdf</x:v>
      </x:c>
      <x:c r="R71" s="33" t="str"/>
    </x:row>
    <x:row r="72" ht="42" customHeight="1">
      <x:c r="A72" s="9" t="str">
        <x:v>CRCW060368K0FKEA</x:v>
      </x:c>
      <x:c r="B72" s="10" t="n">
        <x:v>2</x:v>
      </x:c>
      <x:c r="C72" s="13" t="n">
        <x:v>22</x:v>
      </x:c>
      <x:c r="D72" s="22"/>
      <x:c r="E72" s="16" t="n">
        <x:v>0.88</x:v>
      </x:c>
      <x:c r="F72" s="20" t="n">
        <x:f>ROUND(IF(ISNUMBER(D72),C72*D72,0)+E72+1E-9,2)</x:f>
        <x:v>0.88</x:v>
      </x:c>
      <x:c r="G72" s="13" t="n">
        <x:v>40</x:v>
      </x:c>
      <x:c r="H72" s="22"/>
      <x:c r="I72" s="16" t="n">
        <x:v>1.6</x:v>
      </x:c>
      <x:c r="J72" s="20" t="n">
        <x:f>ROUND(IF(ISNUMBER(H72),G72*H72,0)+I72+1E-9,2)</x:f>
        <x:v>1.6</x:v>
      </x:c>
      <x:c r="K72" s="10" t="str">
        <x:v>NO_PRICE</x:v>
      </x:c>
      <x:c r="L72" s="2" t="str">
        <x:v>Vishay</x:v>
      </x:c>
      <x:c r="M72" s="31" t="str">
        <x:v>R5602; R5603</x:v>
      </x:c>
      <x:c r="N72" s="32" t="str">
        <x:v>0603</x:v>
      </x:c>
      <x:c r="O72" s="31" t="str">
        <x:v>SELECTED_FAMILY_CODE</x:v>
      </x:c>
      <x:c r="P72" s="31" t="str">
        <x:v>Оценочный резерв — прайс отсутствует</x:v>
      </x:c>
      <x:c r="Q72" s="31" t="str">
        <x:v>https://www.vishay.com/docs/20035/dcrcwe3.pdf</x:v>
      </x:c>
      <x:c r="R72" s="31" t="str"/>
    </x:row>
    <x:row r="73" ht="42" customHeight="1">
      <x:c r="A73" s="9" t="str">
        <x:v>CRCW060375K0FKEA</x:v>
      </x:c>
      <x:c r="B73" s="10" t="n">
        <x:v>2</x:v>
      </x:c>
      <x:c r="C73" s="13" t="n">
        <x:v>22</x:v>
      </x:c>
      <x:c r="D73" s="22"/>
      <x:c r="E73" s="16" t="n">
        <x:v>0.88</x:v>
      </x:c>
      <x:c r="F73" s="20" t="n">
        <x:f>ROUND(IF(ISNUMBER(D73),C73*D73,0)+E73+1E-9,2)</x:f>
        <x:v>0.88</x:v>
      </x:c>
      <x:c r="G73" s="13" t="n">
        <x:v>40</x:v>
      </x:c>
      <x:c r="H73" s="22"/>
      <x:c r="I73" s="16" t="n">
        <x:v>1.6</x:v>
      </x:c>
      <x:c r="J73" s="20" t="n">
        <x:f>ROUND(IF(ISNUMBER(H73),G73*H73,0)+I73+1E-9,2)</x:f>
        <x:v>1.6</x:v>
      </x:c>
      <x:c r="K73" s="10" t="str">
        <x:v>NO_PRICE</x:v>
      </x:c>
      <x:c r="L73" s="12" t="str">
        <x:v>Vishay</x:v>
      </x:c>
      <x:c r="M73" s="33" t="str">
        <x:v>R220; R320</x:v>
      </x:c>
      <x:c r="N73" s="34" t="str">
        <x:v>0603</x:v>
      </x:c>
      <x:c r="O73" s="33" t="str">
        <x:v>SELECTED_FAMILY_CODE</x:v>
      </x:c>
      <x:c r="P73" s="33" t="str">
        <x:v>Оценочный резерв — прайс отсутствует</x:v>
      </x:c>
      <x:c r="Q73" s="33" t="str">
        <x:v>https://www.vishay.com/docs/20035/dcrcwe3.pdf</x:v>
      </x:c>
      <x:c r="R73" s="33" t="str"/>
    </x:row>
    <x:row r="74" ht="42" customHeight="1">
      <x:c r="A74" s="9" t="str">
        <x:v>CRCW0603910RFKEA</x:v>
      </x:c>
      <x:c r="B74" s="10" t="n">
        <x:v>2</x:v>
      </x:c>
      <x:c r="C74" s="13" t="n">
        <x:v>22</x:v>
      </x:c>
      <x:c r="D74" s="22"/>
      <x:c r="E74" s="16" t="n">
        <x:v>0.88</x:v>
      </x:c>
      <x:c r="F74" s="20" t="n">
        <x:f>ROUND(IF(ISNUMBER(D74),C74*D74,0)+E74+1E-9,2)</x:f>
        <x:v>0.88</x:v>
      </x:c>
      <x:c r="G74" s="13" t="n">
        <x:v>40</x:v>
      </x:c>
      <x:c r="H74" s="22"/>
      <x:c r="I74" s="16" t="n">
        <x:v>1.6</x:v>
      </x:c>
      <x:c r="J74" s="20" t="n">
        <x:f>ROUND(IF(ISNUMBER(H74),G74*H74,0)+I74+1E-9,2)</x:f>
        <x:v>1.6</x:v>
      </x:c>
      <x:c r="K74" s="10" t="str">
        <x:v>NO_PRICE</x:v>
      </x:c>
      <x:c r="L74" s="2" t="str">
        <x:v>Vishay</x:v>
      </x:c>
      <x:c r="M74" s="31" t="str">
        <x:v>R298; R398</x:v>
      </x:c>
      <x:c r="N74" s="32" t="str">
        <x:v>0603</x:v>
      </x:c>
      <x:c r="O74" s="31" t="str">
        <x:v>SELECTED_FAMILY_CODE</x:v>
      </x:c>
      <x:c r="P74" s="31" t="str">
        <x:v>Оценочный резерв — прайс отсутствует</x:v>
      </x:c>
      <x:c r="Q74" s="31" t="str">
        <x:v>https://www.vishay.com/docs/20035/dcrcwe3.pdf</x:v>
      </x:c>
      <x:c r="R74" s="31" t="str"/>
    </x:row>
    <x:row r="75" ht="42" customHeight="1">
      <x:c r="A75" s="9" t="str">
        <x:v>CRCW08050000Z0EA</x:v>
      </x:c>
      <x:c r="B75" s="10" t="n">
        <x:v>5</x:v>
      </x:c>
      <x:c r="C75" s="13" t="n">
        <x:v>25</x:v>
      </x:c>
      <x:c r="D75" s="22"/>
      <x:c r="E75" s="16" t="n">
        <x:v>1</x:v>
      </x:c>
      <x:c r="F75" s="20" t="n">
        <x:f>ROUND(IF(ISNUMBER(D75),C75*D75,0)+E75+1E-9,2)</x:f>
        <x:v>1</x:v>
      </x:c>
      <x:c r="G75" s="13" t="n">
        <x:v>70</x:v>
      </x:c>
      <x:c r="H75" s="22"/>
      <x:c r="I75" s="16" t="n">
        <x:v>2.8</x:v>
      </x:c>
      <x:c r="J75" s="20" t="n">
        <x:f>ROUND(IF(ISNUMBER(H75),G75*H75,0)+I75+1E-9,2)</x:f>
        <x:v>2.8</x:v>
      </x:c>
      <x:c r="K75" s="10" t="str">
        <x:v>NO_PRICE</x:v>
      </x:c>
      <x:c r="L75" s="12" t="str">
        <x:v>Vishay</x:v>
      </x:c>
      <x:c r="M75" s="33" t="str">
        <x:v>R1530; R1531; R1532; R216; R316</x:v>
      </x:c>
      <x:c r="N75" s="34" t="str">
        <x:v>0805</x:v>
      </x:c>
      <x:c r="O75" s="33" t="str">
        <x:v>SELECTED_FAMILY_CODE</x:v>
      </x:c>
      <x:c r="P75" s="33" t="str">
        <x:v>Оценочный резерв — прайс отсутствует</x:v>
      </x:c>
      <x:c r="Q75" s="33" t="str">
        <x:v>https://www.vishay.com/docs/20035/dcrcwe3.pdf</x:v>
      </x:c>
      <x:c r="R75" s="33" t="str"/>
    </x:row>
    <x:row r="76" ht="42" customHeight="1">
      <x:c r="A76" s="9" t="str">
        <x:v>CRCW080556K0FKEA</x:v>
      </x:c>
      <x:c r="B76" s="10" t="n">
        <x:v>18</x:v>
      </x:c>
      <x:c r="C76" s="13" t="n">
        <x:v>38</x:v>
      </x:c>
      <x:c r="D76" s="22"/>
      <x:c r="E76" s="16" t="n">
        <x:v>1.52</x:v>
      </x:c>
      <x:c r="F76" s="20" t="n">
        <x:f>ROUND(IF(ISNUMBER(D76),C76*D76,0)+E76+1E-9,2)</x:f>
        <x:v>1.52</x:v>
      </x:c>
      <x:c r="G76" s="13" t="n">
        <x:v>200</x:v>
      </x:c>
      <x:c r="H76" s="22"/>
      <x:c r="I76" s="16" t="n">
        <x:v>8</x:v>
      </x:c>
      <x:c r="J76" s="20" t="n">
        <x:f>ROUND(IF(ISNUMBER(H76),G76*H76,0)+I76+1E-9,2)</x:f>
        <x:v>8</x:v>
      </x:c>
      <x:c r="K76" s="10" t="str">
        <x:v>NO_PRICE</x:v>
      </x:c>
      <x:c r="L76" s="2" t="str">
        <x:v>Vishay</x:v>
      </x:c>
      <x:c r="M76" s="31" t="str">
        <x:v>R232; R233; R234; R235; R236; R237; R238; R239; R240; R332; R333; R334; R335; R336; R337; R338; R339; R340</x:v>
      </x:c>
      <x:c r="N76" s="32" t="str">
        <x:v>0805</x:v>
      </x:c>
      <x:c r="O76" s="31" t="str">
        <x:v>SELECTED_FAMILY_CODE</x:v>
      </x:c>
      <x:c r="P76" s="31" t="str">
        <x:v>Оценочный резерв — прайс отсутствует</x:v>
      </x:c>
      <x:c r="Q76" s="31" t="str">
        <x:v>https://www.vishay.com/docs/20035/dcrcwe3.pdf</x:v>
      </x:c>
      <x:c r="R76" s="31" t="str"/>
    </x:row>
    <x:row r="77" ht="42" customHeight="1">
      <x:c r="A77" s="9" t="str">
        <x:v>CRCW12061K00FKEAHP</x:v>
      </x:c>
      <x:c r="B77" s="10" t="n">
        <x:v>2</x:v>
      </x:c>
      <x:c r="C77" s="13" t="n">
        <x:v>3</x:v>
      </x:c>
      <x:c r="D77" s="22"/>
      <x:c r="E77" s="16" t="n">
        <x:v>0.12</x:v>
      </x:c>
      <x:c r="F77" s="20" t="n">
        <x:f>ROUND(IF(ISNUMBER(D77),C77*D77,0)+E77+1E-9,2)</x:f>
        <x:v>0.12</x:v>
      </x:c>
      <x:c r="G77" s="13" t="n">
        <x:v>22</x:v>
      </x:c>
      <x:c r="H77" s="22"/>
      <x:c r="I77" s="16" t="n">
        <x:v>0.88</x:v>
      </x:c>
      <x:c r="J77" s="20" t="n">
        <x:f>ROUND(IF(ISNUMBER(H77),G77*H77,0)+I77+1E-9,2)</x:f>
        <x:v>0.88</x:v>
      </x:c>
      <x:c r="K77" s="10" t="str">
        <x:v>NO_PRICE</x:v>
      </x:c>
      <x:c r="L77" s="12" t="str">
        <x:v>Vishay</x:v>
      </x:c>
      <x:c r="M77" s="33" t="str">
        <x:v>R112; R1507</x:v>
      </x:c>
      <x:c r="N77" s="34" t="str">
        <x:v>1206</x:v>
      </x:c>
      <x:c r="O77" s="33" t="str">
        <x:v>SELECTED_CATALOG_ITEM</x:v>
      </x:c>
      <x:c r="P77" s="33" t="str">
        <x:v>Оценочный резерв — прайс отсутствует</x:v>
      </x:c>
      <x:c r="Q77" s="33" t="str">
        <x:v>https://www.newark.com/vishay/crcw12061k00fkeahp/surface-mount-thick-film-resistor/dp/41R4820; https://www.vishay.com/docs/20043/crcwhpe3.pdf</x:v>
      </x:c>
      <x:c r="R77" s="33" t="str"/>
    </x:row>
    <x:row r="78" ht="42" customHeight="1">
      <x:c r="A78" s="9" t="str">
        <x:v>CRCW12062K00FKEA</x:v>
      </x:c>
      <x:c r="B78" s="10" t="n">
        <x:v>4</x:v>
      </x:c>
      <x:c r="C78" s="13" t="n">
        <x:v>5</x:v>
      </x:c>
      <x:c r="D78" s="22"/>
      <x:c r="E78" s="16" t="n">
        <x:v>0.2</x:v>
      </x:c>
      <x:c r="F78" s="20" t="n">
        <x:f>ROUND(IF(ISNUMBER(D78),C78*D78,0)+E78+1E-9,2)</x:f>
        <x:v>0.2</x:v>
      </x:c>
      <x:c r="G78" s="13" t="n">
        <x:v>44</x:v>
      </x:c>
      <x:c r="H78" s="22"/>
      <x:c r="I78" s="16" t="n">
        <x:v>1.76</x:v>
      </x:c>
      <x:c r="J78" s="20" t="n">
        <x:f>ROUND(IF(ISNUMBER(H78),G78*H78,0)+I78+1E-9,2)</x:f>
        <x:v>1.76</x:v>
      </x:c>
      <x:c r="K78" s="10" t="str">
        <x:v>NO_PRICE</x:v>
      </x:c>
      <x:c r="L78" s="2" t="str">
        <x:v>Vishay</x:v>
      </x:c>
      <x:c r="M78" s="31" t="str">
        <x:v>R230; R231; R330; R331</x:v>
      </x:c>
      <x:c r="N78" s="32" t="str">
        <x:v>1206</x:v>
      </x:c>
      <x:c r="O78" s="31" t="str">
        <x:v>SELECTED_FAMILY_CODE</x:v>
      </x:c>
      <x:c r="P78" s="31" t="str">
        <x:v>Оценочный резерв — прайс отсутствует</x:v>
      </x:c>
      <x:c r="Q78" s="31" t="str">
        <x:v>https://www.vishay.com/docs/20035/dcrcwe3.pdf</x:v>
      </x:c>
      <x:c r="R78" s="31" t="str"/>
    </x:row>
    <x:row r="79" ht="42" customHeight="1">
      <x:c r="A79" s="11" t="str">
        <x:v>CS3225X7R476K160NRL</x:v>
      </x:c>
      <x:c r="B79" s="12" t="n">
        <x:v>4</x:v>
      </x:c>
      <x:c r="C79" s="15" t="n">
        <x:v>5</x:v>
      </x:c>
      <x:c r="D79" s="24" t="n">
        <x:v>0.2388</x:v>
      </x:c>
      <x:c r="E79" s="18" t="n">
        <x:v>0</x:v>
      </x:c>
      <x:c r="F79" s="21" t="n">
        <x:f>ROUND(IF(ISNUMBER(D79),C79*D79,0)+E79+1E-9,2)</x:f>
        <x:v>1.19</x:v>
      </x:c>
      <x:c r="G79" s="15" t="n">
        <x:v>50</x:v>
      </x:c>
      <x:c r="H79" s="24" t="n">
        <x:v>0.1837</x:v>
      </x:c>
      <x:c r="I79" s="18" t="n">
        <x:v>0</x:v>
      </x:c>
      <x:c r="J79" s="21" t="n">
        <x:f>ROUND(IF(ISNUMBER(H79),G79*H79,0)+I79+1E-9,2)</x:f>
        <x:v>9.19</x:v>
      </x:c>
      <x:c r="K79" s="12" t="str">
        <x:v>CATALOG_PRICE</x:v>
      </x:c>
      <x:c r="L79" s="12" t="str">
        <x:v>Samwha Capacitor</x:v>
      </x:c>
      <x:c r="M79" s="33" t="str">
        <x:v>C5208; C5209; C5210; C5211</x:v>
      </x:c>
      <x:c r="N79" s="34" t="str">
        <x:v>1210</x:v>
      </x:c>
      <x:c r="O79" s="33" t="str">
        <x:v>SELECTED_CONDITIONAL</x:v>
      </x:c>
      <x:c r="P79" s="33" t="str">
        <x:v>https://www.lcsc.com/product-detail/C5440143.html</x:v>
      </x:c>
      <x:c r="Q79" s="33" t="str">
        <x:v>https://jlcpcb.com/partdetail/6321105-CS3225X7R476K160NRL/C5440143; https://www.tme.com/Document/15a3409220a9cd1969199d6f4e29e942/CS.pdf</x:v>
      </x:c>
      <x:c r="R79" s="33" t="str">
        <x:v>Four capacitors must jointly retain&gt;=100uF effective at5V including tolerance, temperature, bias and aging. Individual supplier bias envelope not obtained; loop/transient validation still required.; Required effective capacitance not yet verified with supplier bias, temperature, tolerance and aging envelope.</x:v>
      </x:c>
    </x:row>
    <x:row r="80" ht="42" customHeight="1">
      <x:c r="A80" s="9" t="str">
        <x:v>EEH-ZC1J470P</x:v>
      </x:c>
      <x:c r="B80" s="10" t="n">
        <x:v>1</x:v>
      </x:c>
      <x:c r="C80" s="13" t="n">
        <x:v>2</x:v>
      </x:c>
      <x:c r="D80" s="22"/>
      <x:c r="E80" s="16" t="n">
        <x:v>4</x:v>
      </x:c>
      <x:c r="F80" s="20" t="n">
        <x:f>ROUND(IF(ISNUMBER(D80),C80*D80,0)+E80+1E-9,2)</x:f>
        <x:v>4</x:v>
      </x:c>
      <x:c r="G80" s="13" t="n">
        <x:v>11</x:v>
      </x:c>
      <x:c r="H80" s="22"/>
      <x:c r="I80" s="16" t="n">
        <x:v>22</x:v>
      </x:c>
      <x:c r="J80" s="20" t="n">
        <x:f>ROUND(IF(ISNUMBER(H80),G80*H80,0)+I80+1E-9,2)</x:f>
        <x:v>22</x:v>
      </x:c>
      <x:c r="K80" s="10" t="str">
        <x:v>NO_PRICE</x:v>
      </x:c>
      <x:c r="L80" s="2" t="str">
        <x:v>Panasonic Industry</x:v>
      </x:c>
      <x:c r="M80" s="31" t="str">
        <x:v>C5651</x:v>
      </x:c>
      <x:c r="N80" s="32" t="str">
        <x:v>Radial_SMD_D8_H10.5</x:v>
      </x:c>
      <x:c r="O80" s="31" t="str">
        <x:v>SELECTED_CONDITIONAL</x:v>
      </x:c>
      <x:c r="P80" s="31" t="str">
        <x:v>Оценочный резерв — прайс отсутствует</x:v>
      </x:c>
      <x:c r="Q80" s="31" t="str">
        <x:v>https://www.digikey.com/en/products/detail/panasonic-industry/EEH-ZC1J470P/9842041</x:v>
      </x:c>
      <x:c r="R80" s="31" t="str">
        <x:v>Source footprint CP_Elec_8x10; selected part maximum seated height10.5mm and8.3mm square land envelope require clearance verification.</x:v>
      </x:c>
    </x:row>
    <x:row r="81" ht="42" customHeight="1">
      <x:c r="A81" s="9" t="str">
        <x:v>EEH-ZE1H101P</x:v>
      </x:c>
      <x:c r="B81" s="10" t="n">
        <x:v>2</x:v>
      </x:c>
      <x:c r="C81" s="13" t="n">
        <x:v>3</x:v>
      </x:c>
      <x:c r="D81" s="22"/>
      <x:c r="E81" s="16" t="n">
        <x:v>6</x:v>
      </x:c>
      <x:c r="F81" s="20" t="n">
        <x:f>ROUND(IF(ISNUMBER(D81),C81*D81,0)+E81+1E-9,2)</x:f>
        <x:v>6</x:v>
      </x:c>
      <x:c r="G81" s="13" t="n">
        <x:v>22</x:v>
      </x:c>
      <x:c r="H81" s="22"/>
      <x:c r="I81" s="16" t="n">
        <x:v>44</x:v>
      </x:c>
      <x:c r="J81" s="20" t="n">
        <x:f>ROUND(IF(ISNUMBER(H81),G81*H81,0)+I81+1E-9,2)</x:f>
        <x:v>44</x:v>
      </x:c>
      <x:c r="K81" s="10" t="str">
        <x:v>NO_PRICE</x:v>
      </x:c>
      <x:c r="L81" s="12" t="str">
        <x:v>Panasonic Industry</x:v>
      </x:c>
      <x:c r="M81" s="33" t="str">
        <x:v>C6004; C6054</x:v>
      </x:c>
      <x:c r="N81" s="34" t="str">
        <x:v>Radial_SMD_D10_H10.5</x:v>
      </x:c>
      <x:c r="O81" s="33" t="str">
        <x:v>SELECTED_CONDITIONAL</x:v>
      </x:c>
      <x:c r="P81" s="33" t="str">
        <x:v>Оценочный резерв — прайс отсутствует</x:v>
      </x:c>
      <x:c r="Q81" s="33" t="str">
        <x:v>https://www.digikey.com/en/products/detail/panasonic-industry/EEH-ZE1H101P/7103634</x:v>
      </x:c>
      <x:c r="R81" s="33" t="str">
        <x:v>EWG/DBW current ripple and thermal lifetime must be checked; catalog0.8A ripple is not circuit qualification.</x:v>
      </x:c>
    </x:row>
    <x:row r="82" ht="42" customHeight="1">
      <x:c r="A82" s="9" t="str">
        <x:v>GMC10X7R475K16NT</x:v>
      </x:c>
      <x:c r="B82" s="10" t="n">
        <x:v>4</x:v>
      </x:c>
      <x:c r="C82" s="13" t="n">
        <x:v>24</x:v>
      </x:c>
      <x:c r="D82" s="22"/>
      <x:c r="E82" s="16" t="n">
        <x:v>4.32</x:v>
      </x:c>
      <x:c r="F82" s="20" t="n">
        <x:f>ROUND(IF(ISNUMBER(D82),C82*D82,0)+E82+1E-9,2)</x:f>
        <x:v>4.32</x:v>
      </x:c>
      <x:c r="G82" s="13" t="n">
        <x:v>60</x:v>
      </x:c>
      <x:c r="H82" s="22"/>
      <x:c r="I82" s="16" t="n">
        <x:v>10.8</x:v>
      </x:c>
      <x:c r="J82" s="20" t="n">
        <x:f>ROUND(IF(ISNUMBER(H82),G82*H82,0)+I82+1E-9,2)</x:f>
        <x:v>10.8</x:v>
      </x:c>
      <x:c r="K82" s="10" t="str">
        <x:v>NO_PRICE</x:v>
      </x:c>
      <x:c r="L82" s="2" t="str">
        <x:v>Cal-Chip Electronics</x:v>
      </x:c>
      <x:c r="M82" s="31" t="str">
        <x:v>C1701; C212; C312; C5616</x:v>
      </x:c>
      <x:c r="N82" s="32" t="str">
        <x:v>0603</x:v>
      </x:c>
      <x:c r="O82" s="31" t="str">
        <x:v>SELECTED_CATALOG_ITEM</x:v>
      </x:c>
      <x:c r="P82" s="31" t="str">
        <x:v>Оценочный резерв — прайс отсутствует</x:v>
      </x:c>
      <x:c r="Q82" s="31" t="str">
        <x:v>https://www.digikey.com/en/products/detail/cal-chip-electronics-inc/GMC10X7R475K16NT/22471820</x:v>
      </x:c>
      <x:c r="R82" s="31" t="str"/>
    </x:row>
    <x:row r="83" ht="42" customHeight="1">
      <x:c r="A83" s="9" t="str">
        <x:v>GMC21X7R106K25NT</x:v>
      </x:c>
      <x:c r="B83" s="10" t="n">
        <x:v>2</x:v>
      </x:c>
      <x:c r="C83" s="13" t="n">
        <x:v>22</x:v>
      </x:c>
      <x:c r="D83" s="22"/>
      <x:c r="E83" s="16" t="n">
        <x:v>3.96</x:v>
      </x:c>
      <x:c r="F83" s="20" t="n">
        <x:f>ROUND(IF(ISNUMBER(D83),C83*D83,0)+E83+1E-9,2)</x:f>
        <x:v>3.96</x:v>
      </x:c>
      <x:c r="G83" s="13" t="n">
        <x:v>40</x:v>
      </x:c>
      <x:c r="H83" s="22"/>
      <x:c r="I83" s="16" t="n">
        <x:v>7.2</x:v>
      </x:c>
      <x:c r="J83" s="20" t="n">
        <x:f>ROUND(IF(ISNUMBER(H83),G83*H83,0)+I83+1E-9,2)</x:f>
        <x:v>7.2</x:v>
      </x:c>
      <x:c r="K83" s="10" t="str">
        <x:v>NO_PRICE</x:v>
      </x:c>
      <x:c r="L83" s="12" t="str">
        <x:v>Cal-Chip Electronics</x:v>
      </x:c>
      <x:c r="M83" s="33" t="str">
        <x:v>C1521; C5300</x:v>
      </x:c>
      <x:c r="N83" s="34" t="str">
        <x:v>0805</x:v>
      </x:c>
      <x:c r="O83" s="33" t="str">
        <x:v>SELECTED_CATALOG_ITEM</x:v>
      </x:c>
      <x:c r="P83" s="33" t="str">
        <x:v>Оценочный резерв — прайс отсутствует</x:v>
      </x:c>
      <x:c r="Q83" s="33" t="str">
        <x:v>https://www.digikey.com/en/products/detail/cal-chip-electronics-inc/GMC21X7R106K25NT/22640097</x:v>
      </x:c>
      <x:c r="R83" s="33" t="str">
        <x:v>Required effective capacitance not yet verified with supplier bias, temperature, tolerance and aging envelope.</x:v>
      </x:c>
    </x:row>
    <x:row r="84" ht="42" customHeight="1">
      <x:c r="A84" s="8" t="str">
        <x:v>INA300AQDGSRQ1</x:v>
      </x:c>
      <x:c r="B84" s="2" t="n">
        <x:v>6</x:v>
      </x:c>
      <x:c r="C84" s="14" t="n">
        <x:v>7</x:v>
      </x:c>
      <x:c r="D84" s="23" t="n">
        <x:v>1.91</x:v>
      </x:c>
      <x:c r="E84" s="17" t="n">
        <x:v>0</x:v>
      </x:c>
      <x:c r="F84" s="19" t="n">
        <x:f>ROUND(IF(ISNUMBER(D84),C84*D84,0)+E84+1E-9,2)</x:f>
        <x:v>13.37</x:v>
      </x:c>
      <x:c r="G84" s="14" t="n">
        <x:v>66</x:v>
      </x:c>
      <x:c r="H84" s="23" t="n">
        <x:v>1.2756</x:v>
      </x:c>
      <x:c r="I84" s="17" t="n">
        <x:v>0</x:v>
      </x:c>
      <x:c r="J84" s="19" t="n">
        <x:f>ROUND(IF(ISNUMBER(H84),G84*H84,0)+I84+1E-9,2)</x:f>
        <x:v>84.19</x:v>
      </x:c>
      <x:c r="K84" s="2" t="str">
        <x:v>CATALOG_PRICE</x:v>
      </x:c>
      <x:c r="L84" s="2" t="str">
        <x:v>Texas Instruments</x:v>
      </x:c>
      <x:c r="M84" s="31" t="str">
        <x:v>U5422; U5442; U5462; U5482; U5502; U5522</x:v>
      </x:c>
      <x:c r="N84" s="32" t="str">
        <x:v>VSSOP-10_3x3mm_P0.5mm</x:v>
      </x:c>
      <x:c r="O84" s="31" t="str">
        <x:v>SELECTED_CONDITIONAL</x:v>
      </x:c>
      <x:c r="P84" s="31" t="str">
        <x:v>https://www.digikey.com/en/products/detail/texas-instruments/INA300AQDGSRQ1/6181555</x:v>
      </x:c>
      <x:c r="Q84" s="31" t="str">
        <x:v>https://www.ti.com/product/INA300-Q1</x:v>
      </x:c>
      <x:c r="R84" s="31" t="str">
        <x:v>Catalog family limits verified; exact order suffix and circuit stress/thermal margin remain board qualification.</x:v>
      </x:c>
    </x:row>
    <x:row r="85" ht="42" customHeight="1">
      <x:c r="A85" s="11" t="str">
        <x:v>IPD60N10S4L12ATMA1</x:v>
      </x:c>
      <x:c r="B85" s="12" t="n">
        <x:v>24</x:v>
      </x:c>
      <x:c r="C85" s="15" t="n">
        <x:v>27</x:v>
      </x:c>
      <x:c r="D85" s="24" t="n">
        <x:v>1.483</x:v>
      </x:c>
      <x:c r="E85" s="18" t="n">
        <x:v>0</x:v>
      </x:c>
      <x:c r="F85" s="21" t="n">
        <x:f>ROUND(IF(ISNUMBER(D85),C85*D85,0)+E85+1E-9,2)</x:f>
        <x:v>40.04</x:v>
      </x:c>
      <x:c r="G85" s="15" t="n">
        <x:v>264</x:v>
      </x:c>
      <x:c r="H85" s="24" t="n">
        <x:v>1.0028</x:v>
      </x:c>
      <x:c r="I85" s="18" t="n">
        <x:v>0</x:v>
      </x:c>
      <x:c r="J85" s="21" t="n">
        <x:f>ROUND(IF(ISNUMBER(H85),G85*H85,0)+I85+1E-9,2)</x:f>
        <x:v>264.74</x:v>
      </x:c>
      <x:c r="K85" s="12" t="str">
        <x:v>CATALOG_PRICE</x:v>
      </x:c>
      <x:c r="L85" s="12" t="str">
        <x:v>Infineon Technologies</x:v>
      </x:c>
      <x:c r="M85" s="33" t="str">
        <x:v>Q201; Q202; Q203; Q204; Q205; Q206; Q207; Q208; Q209; Q211; Q212; Q213; Q301; Q302; Q303; Q304; Q305; Q306; Q307; Q308; Q309; Q311; Q312; Q313</x:v>
      </x:c>
      <x:c r="N85" s="34" t="str">
        <x:v>TO-252-2</x:v>
      </x:c>
      <x:c r="O85" s="33" t="str">
        <x:v>SELECTED_CONDITIONAL</x:v>
      </x:c>
      <x:c r="P85" s="33" t="str">
        <x:v>https://www.digikey.com/en/products/detail/infineon-technologies/IPD60N10S4L12ATMA1/5960252</x:v>
      </x:c>
      <x:c r="Q85" s="33" t="str">
        <x:v>https://www.infineon.com/assets/row/public/documents/10/49/infineon-ipd60n10s4l-12-ds-en.pdf</x:v>
      </x:c>
      <x:c r="R85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86" ht="42" customHeight="1">
      <x:c r="A86" s="8" t="str">
        <x:v>IPD90N10S406ATMA1</x:v>
      </x:c>
      <x:c r="B86" s="2" t="n">
        <x:v>8</x:v>
      </x:c>
      <x:c r="C86" s="14" t="n">
        <x:v>10</x:v>
      </x:c>
      <x:c r="D86" s="23" t="n">
        <x:v>1.971</x:v>
      </x:c>
      <x:c r="E86" s="17" t="n">
        <x:v>0</x:v>
      </x:c>
      <x:c r="F86" s="19" t="n">
        <x:f>ROUND(IF(ISNUMBER(D86),C86*D86,0)+E86+1E-9,2)</x:f>
        <x:v>19.71</x:v>
      </x:c>
      <x:c r="G86" s="14" t="n">
        <x:v>88</x:v>
      </x:c>
      <x:c r="H86" s="23" t="n">
        <x:v>1.5074</x:v>
      </x:c>
      <x:c r="I86" s="17" t="n">
        <x:v>0</x:v>
      </x:c>
      <x:c r="J86" s="19" t="n">
        <x:f>ROUND(IF(ISNUMBER(H86),G86*H86,0)+I86+1E-9,2)</x:f>
        <x:v>132.65</x:v>
      </x:c>
      <x:c r="K86" s="2" t="str">
        <x:v>CATALOG_PRICE</x:v>
      </x:c>
      <x:c r="L86" s="2" t="str">
        <x:v>Infineon Technologies</x:v>
      </x:c>
      <x:c r="M86" s="31" t="str">
        <x:v>Q5001; Q5002; Q5051; Q5052; Q6200; Q6201; Q6250; Q6251</x:v>
      </x:c>
      <x:c r="N86" s="32" t="str">
        <x:v>TO-252-2</x:v>
      </x:c>
      <x:c r="O86" s="31" t="str">
        <x:v>REFERENCE_MPN_RETAINED</x:v>
      </x:c>
      <x:c r="P86" s="31" t="str">
        <x:v>https://www.digikey.com/en/products/detail/infineon-technologies/IPD90N10S406ATMA1/5960269</x:v>
      </x:c>
      <x:c r="Q86" s="31" t="str">
        <x:v>https://www.infineon.com/part/IPD90N10S4-06</x:v>
      </x:c>
      <x:c r="R86" s="31" t="str">
        <x:v>Existing schematic MPN retained. Complete circuit rating/temperature and package signoff is still required.</x:v>
      </x:c>
    </x:row>
    <x:row r="87" ht="42" customHeight="1">
      <x:c r="A87" s="9" t="str">
        <x:v>KT-0805Y</x:v>
      </x:c>
      <x:c r="B87" s="10" t="n">
        <x:v>2</x:v>
      </x:c>
      <x:c r="C87" s="13" t="n">
        <x:v>3</x:v>
      </x:c>
      <x:c r="D87" s="22"/>
      <x:c r="E87" s="16" t="n">
        <x:v>0.6</x:v>
      </x:c>
      <x:c r="F87" s="20" t="n">
        <x:f>ROUND(IF(ISNUMBER(D87),C87*D87,0)+E87+1E-9,2)</x:f>
        <x:v>0.6</x:v>
      </x:c>
      <x:c r="G87" s="13" t="n">
        <x:v>22</x:v>
      </x:c>
      <x:c r="H87" s="22"/>
      <x:c r="I87" s="16" t="n">
        <x:v>4.4</x:v>
      </x:c>
      <x:c r="J87" s="20" t="n">
        <x:f>ROUND(IF(ISNUMBER(H87),G87*H87,0)+I87+1E-9,2)</x:f>
        <x:v>4.4</x:v>
      </x:c>
      <x:c r="K87" s="10" t="str">
        <x:v>NO_PRICE</x:v>
      </x:c>
      <x:c r="L87" s="12" t="str">
        <x:v>Hubei KENTO Electronics</x:v>
      </x:c>
      <x:c r="M87" s="33" t="str">
        <x:v>D211; D311</x:v>
      </x:c>
      <x:c r="N87" s="34" t="str">
        <x:v>0805</x:v>
      </x:c>
      <x:c r="O87" s="33" t="str">
        <x:v>SELECTED_CONDITIONAL</x:v>
      </x:c>
      <x:c r="P87" s="33" t="str">
        <x:v>Оценочный резерв — прайс отсутствует</x:v>
      </x:c>
      <x:c r="Q87" s="33" t="str">
        <x:v>https://www.lcsc.com/product-detail/C2296.html</x:v>
      </x:c>
      <x:c r="R87" s="33" t="str">
        <x:v>Source identity retained; forward current, temperature and polarity require datasheet check.</x:v>
      </x:c>
    </x:row>
    <x:row r="88" ht="42" customHeight="1">
      <x:c r="A88" s="8" t="str">
        <x:v>LM74800QDRRRQ1</x:v>
      </x:c>
      <x:c r="B88" s="2" t="n">
        <x:v>4</x:v>
      </x:c>
      <x:c r="C88" s="14" t="n">
        <x:v>5</x:v>
      </x:c>
      <x:c r="D88" s="23" t="n">
        <x:v>3</x:v>
      </x:c>
      <x:c r="E88" s="17" t="n">
        <x:v>0</x:v>
      </x:c>
      <x:c r="F88" s="19" t="n">
        <x:f>ROUND(IF(ISNUMBER(D88),C88*D88,0)+E88+1E-9,2)</x:f>
        <x:v>15</x:v>
      </x:c>
      <x:c r="G88" s="14" t="n">
        <x:v>44</x:v>
      </x:c>
      <x:c r="H88" s="23" t="n">
        <x:v>2.0544</x:v>
      </x:c>
      <x:c r="I88" s="17" t="n">
        <x:v>0</x:v>
      </x:c>
      <x:c r="J88" s="19" t="n">
        <x:f>ROUND(IF(ISNUMBER(H88),G88*H88,0)+I88+1E-9,2)</x:f>
        <x:v>90.39</x:v>
      </x:c>
      <x:c r="K88" s="2" t="str">
        <x:v>CATALOG_PRICE</x:v>
      </x:c>
      <x:c r="L88" s="2" t="str">
        <x:v>Texas Instruments</x:v>
      </x:c>
      <x:c r="M88" s="31" t="str">
        <x:v>U5001; U5051; U6200; U6250</x:v>
      </x:c>
      <x:c r="N88" s="32" t="str">
        <x:v>LM74800_DRR0012E</x:v>
      </x:c>
      <x:c r="O88" s="31" t="str">
        <x:v>SELECTED_CONDITIONAL</x:v>
      </x:c>
      <x:c r="P88" s="31" t="str">
        <x:v>https://www.digikey.com/en/products/detail/texas-instruments/LM74800QDRRRQ1/13627158</x:v>
      </x:c>
      <x:c r="Q88" s="31" t="str">
        <x:v>https://www.ti.com/product/LM7480-Q1</x:v>
      </x:c>
      <x:c r="R88" s="31" t="str">
        <x:v>Catalog family limits verified; exact order suffix and circuit stress/thermal margin remain board qualification.</x:v>
      </x:c>
    </x:row>
    <x:row r="89" ht="42" customHeight="1">
      <x:c r="A89" s="11" t="str">
        <x:v>LM76003QRNPRQ1</x:v>
      </x:c>
      <x:c r="B89" s="12" t="n">
        <x:v>1</x:v>
      </x:c>
      <x:c r="C89" s="15" t="n">
        <x:v>2</x:v>
      </x:c>
      <x:c r="D89" s="24" t="n">
        <x:v>6.16</x:v>
      </x:c>
      <x:c r="E89" s="18" t="n">
        <x:v>0</x:v>
      </x:c>
      <x:c r="F89" s="21" t="n">
        <x:f>ROUND(IF(ISNUMBER(D89),C89*D89,0)+E89+1E-9,2)</x:f>
        <x:v>12.32</x:v>
      </x:c>
      <x:c r="G89" s="15" t="n">
        <x:v>11</x:v>
      </x:c>
      <x:c r="H89" s="24" t="n">
        <x:v>4.725</x:v>
      </x:c>
      <x:c r="I89" s="18" t="n">
        <x:v>0</x:v>
      </x:c>
      <x:c r="J89" s="21" t="n">
        <x:f>ROUND(IF(ISNUMBER(H89),G89*H89,0)+I89+1E-9,2)</x:f>
        <x:v>51.98</x:v>
      </x:c>
      <x:c r="K89" s="12" t="str">
        <x:v>CATALOG_PRICE</x:v>
      </x:c>
      <x:c r="L89" s="12" t="str">
        <x:v>Texas Instruments</x:v>
      </x:c>
      <x:c r="M89" s="33" t="str">
        <x:v>U5200</x:v>
      </x:c>
      <x:c r="N89" s="34" t="str">
        <x:v>Texas_RNP0030B_WQFN-30-1EP_4x6mm_P0.5mm_EP1.8x4.5mm</x:v>
      </x:c>
      <x:c r="O89" s="33" t="str">
        <x:v>SELECTED_CONDITIONAL</x:v>
      </x:c>
      <x:c r="P89" s="33" t="str">
        <x:v>https://www.digikey.com/en/products/detail/texas-instruments/LM76003QRNPRQ1/25880236</x:v>
      </x:c>
      <x:c r="Q89" s="33" t="str">
        <x:v>https://www.ti.com/product/LM76003-Q1</x:v>
      </x:c>
      <x:c r="R89" s="33" t="str">
        <x:v>Catalog family limits verified; exact order suffix and circuit stress/thermal margin remain board qualification.</x:v>
      </x:c>
    </x:row>
    <x:row r="90" ht="42" customHeight="1">
      <x:c r="A90" s="9" t="str">
        <x:v>LT3042IMSE#WTRPBF</x:v>
      </x:c>
      <x:c r="B90" s="10" t="n">
        <x:v>1</x:v>
      </x:c>
      <x:c r="C90" s="13" t="n">
        <x:v>2</x:v>
      </x:c>
      <x:c r="D90" s="22"/>
      <x:c r="E90" s="16" t="n">
        <x:v>20</x:v>
      </x:c>
      <x:c r="F90" s="20" t="n">
        <x:f>ROUND(IF(ISNUMBER(D90),C90*D90,0)+E90+1E-9,2)</x:f>
        <x:v>20</x:v>
      </x:c>
      <x:c r="G90" s="13" t="n">
        <x:v>11</x:v>
      </x:c>
      <x:c r="H90" s="22"/>
      <x:c r="I90" s="16" t="n">
        <x:v>110</x:v>
      </x:c>
      <x:c r="J90" s="20" t="n">
        <x:f>ROUND(IF(ISNUMBER(H90),G90*H90,0)+I90+1E-9,2)</x:f>
        <x:v>110</x:v>
      </x:c>
      <x:c r="K90" s="10" t="str">
        <x:v>NO_PRICE</x:v>
      </x:c>
      <x:c r="L90" s="2" t="str">
        <x:v>Analog Devices</x:v>
      </x:c>
      <x:c r="M90" s="31" t="str">
        <x:v>U5604</x:v>
      </x:c>
      <x:c r="N90" s="32" t="str">
        <x:v>MSOP-10-1EP_3x3mm_P0.5mm_EP1.68x1.88mm</x:v>
      </x:c>
      <x:c r="O90" s="31" t="str">
        <x:v>SELECTED_CONDITIONAL</x:v>
      </x:c>
      <x:c r="P90" s="31" t="str">
        <x:v>Оценочный резерв — прайс отсутствует</x:v>
      </x:c>
      <x:c r="Q90" s="31" t="str">
        <x:v>https://www.analog.com/en/products/lt3042.html</x:v>
      </x:c>
      <x:c r="R90" s="31" t="str">
        <x:v>Automotive W order suffix retained; pricing must not silently use non-W version. Output minimum4.7uF needs effective capacitance review.</x:v>
      </x:c>
    </x:row>
    <x:row r="91" ht="42" customHeight="1">
      <x:c r="A91" s="11" t="str">
        <x:v>LTC6993HS6-1#WTRPBF</x:v>
      </x:c>
      <x:c r="B91" s="12" t="n">
        <x:v>6</x:v>
      </x:c>
      <x:c r="C91" s="15" t="n">
        <x:v>7</x:v>
      </x:c>
      <x:c r="D91" s="24" t="n">
        <x:v>7.96</x:v>
      </x:c>
      <x:c r="E91" s="18" t="n">
        <x:v>0</x:v>
      </x:c>
      <x:c r="F91" s="21" t="n">
        <x:f>ROUND(IF(ISNUMBER(D91),C91*D91,0)+E91+1E-9,2)</x:f>
        <x:v>55.72</x:v>
      </x:c>
      <x:c r="G91" s="15" t="n">
        <x:v>66</x:v>
      </x:c>
      <x:c r="H91" s="24" t="n">
        <x:v>5.716</x:v>
      </x:c>
      <x:c r="I91" s="18" t="n">
        <x:v>0</x:v>
      </x:c>
      <x:c r="J91" s="21" t="n">
        <x:f>ROUND(IF(ISNUMBER(H91),G91*H91,0)+I91+1E-9,2)</x:f>
        <x:v>377.26</x:v>
      </x:c>
      <x:c r="K91" s="12" t="str">
        <x:v>CATALOG_PRICE</x:v>
      </x:c>
      <x:c r="L91" s="12" t="str">
        <x:v>Analog Devices</x:v>
      </x:c>
      <x:c r="M91" s="33" t="str">
        <x:v>U5420; U5440; U5460; U5480; U5500; U5520</x:v>
      </x:c>
      <x:c r="N91" s="34" t="str">
        <x:v>TSOT-23-6</x:v>
      </x:c>
      <x:c r="O91" s="33" t="str">
        <x:v>REFERENCE_MPN_RETAINED</x:v>
      </x:c>
      <x:c r="P91" s="33" t="str">
        <x:v>https://www.digikey.com/en/products/detail/analog-devices-inc/LTC6993HS6-1-WTRPBF/17039075</x:v>
      </x:c>
      <x:c r="Q91" s="33" t="str">
        <x:v>https://www.analog.com/en/search.html?q=LTC6993HS6-1#WTRPBF</x:v>
      </x:c>
      <x:c r="R91" s="33" t="str">
        <x:v>Existing schematic MPN retained. Complete circuit rating/temperature and package signoff is still required.</x:v>
      </x:c>
    </x:row>
    <x:row r="92" ht="42" customHeight="1">
      <x:c r="A92" s="9" t="str">
        <x:v>M50-3500542</x:v>
      </x:c>
      <x:c r="B92" s="10" t="n">
        <x:v>1</x:v>
      </x:c>
      <x:c r="C92" s="13" t="n">
        <x:v>2</x:v>
      </x:c>
      <x:c r="D92" s="22"/>
      <x:c r="E92" s="16" t="n">
        <x:v>4</x:v>
      </x:c>
      <x:c r="F92" s="20" t="n">
        <x:f>ROUND(IF(ISNUMBER(D92),C92*D92,0)+E92+1E-9,2)</x:f>
        <x:v>4</x:v>
      </x:c>
      <x:c r="G92" s="13" t="n">
        <x:v>11</x:v>
      </x:c>
      <x:c r="H92" s="22"/>
      <x:c r="I92" s="16" t="n">
        <x:v>22</x:v>
      </x:c>
      <x:c r="J92" s="20" t="n">
        <x:f>ROUND(IF(ISNUMBER(H92),G92*H92,0)+I92+1E-9,2)</x:f>
        <x:v>22</x:v>
      </x:c>
      <x:c r="K92" s="10" t="str">
        <x:v>NO_PRICE</x:v>
      </x:c>
      <x:c r="L92" s="2" t="str">
        <x:v>Harwin</x:v>
      </x:c>
      <x:c r="M92" s="31" t="str">
        <x:v>J101</x:v>
      </x:c>
      <x:c r="N92" s="32" t="str">
        <x:v>PinHeader_2x05_P1.27mm_Vertical</x:v>
      </x:c>
      <x:c r="O92" s="31" t="str">
        <x:v>SELECTED_CATALOG_ITEM</x:v>
      </x:c>
      <x:c r="P92" s="31" t="str">
        <x:v>Оценочный резерв — прайс отсутствует</x:v>
      </x:c>
      <x:c r="Q92" s="31" t="str">
        <x:v>https://www.digikey.com/en/products/detail/harwin-inc/M50-3500542/2264364</x:v>
      </x:c>
      <x:c r="R92" s="31" t="str"/>
    </x:row>
    <x:row r="93" ht="42" customHeight="1">
      <x:c r="A93" s="11" t="str">
        <x:v>MAX9924UAUB/V+T</x:v>
      </x:c>
      <x:c r="B93" s="12" t="n">
        <x:v>1</x:v>
      </x:c>
      <x:c r="C93" s="15" t="n">
        <x:v>2</x:v>
      </x:c>
      <x:c r="D93" s="24" t="n">
        <x:v>18.58</x:v>
      </x:c>
      <x:c r="E93" s="18" t="n">
        <x:v>0</x:v>
      </x:c>
      <x:c r="F93" s="21" t="n">
        <x:f>ROUND(IF(ISNUMBER(D93),C93*D93,0)+E93+1E-9,2)</x:f>
        <x:v>37.16</x:v>
      </x:c>
      <x:c r="G93" s="15" t="n">
        <x:v>11</x:v>
      </x:c>
      <x:c r="H93" s="24" t="n">
        <x:v>14.776</x:v>
      </x:c>
      <x:c r="I93" s="18" t="n">
        <x:v>0</x:v>
      </x:c>
      <x:c r="J93" s="21" t="n">
        <x:f>ROUND(IF(ISNUMBER(H93),G93*H93,0)+I93+1E-9,2)</x:f>
        <x:v>162.54</x:v>
      </x:c>
      <x:c r="K93" s="12" t="str">
        <x:v>CATALOG_PRICE</x:v>
      </x:c>
      <x:c r="L93" s="12" t="str">
        <x:v>Analog Devices</x:v>
      </x:c>
      <x:c r="M93" s="33" t="str">
        <x:v>U731</x:v>
      </x:c>
      <x:c r="N93" s="34" t="str">
        <x:v>MSOP-10_3x3mm_P0.5mm</x:v>
      </x:c>
      <x:c r="O93" s="33" t="str">
        <x:v>REFERENCE_MPN_RETAINED</x:v>
      </x:c>
      <x:c r="P93" s="33" t="str">
        <x:v>https://www.digikey.com/en/products/detail/analog-devices-inc-maxim-integrated/MAX9924UAUB-V-T/3517058</x:v>
      </x:c>
      <x:c r="Q93" s="33" t="str">
        <x:v>https://www.analog.com/en/search.html?q=MAX9924UAUB/V+</x:v>
      </x:c>
      <x:c r="R93" s="33" t="str">
        <x:v>Existing schematic MPN retained. Complete circuit rating/temperature and package signoff is still required.</x:v>
      </x:c>
    </x:row>
    <x:row r="94" ht="42" customHeight="1">
      <x:c r="A94" s="8" t="str">
        <x:v>MC33PT2001AE</x:v>
      </x:c>
      <x:c r="B94" s="2" t="n">
        <x:v>2</x:v>
      </x:c>
      <x:c r="C94" s="14" t="n">
        <x:v>3</x:v>
      </x:c>
      <x:c r="D94" s="23" t="n">
        <x:v>16.2</x:v>
      </x:c>
      <x:c r="E94" s="17" t="n">
        <x:v>0</x:v>
      </x:c>
      <x:c r="F94" s="19" t="n">
        <x:f>ROUND(IF(ISNUMBER(D94),C94*D94,0)+E94+1E-9,2)</x:f>
        <x:v>48.6</x:v>
      </x:c>
      <x:c r="G94" s="14" t="n">
        <x:v>22</x:v>
      </x:c>
      <x:c r="H94" s="23" t="n">
        <x:v>12.823</x:v>
      </x:c>
      <x:c r="I94" s="17" t="n">
        <x:v>0</x:v>
      </x:c>
      <x:c r="J94" s="19" t="n">
        <x:f>ROUND(IF(ISNUMBER(H94),G94*H94,0)+I94+1E-9,2)</x:f>
        <x:v>282.11</x:v>
      </x:c>
      <x:c r="K94" s="2" t="str">
        <x:v>CATALOG_PRICE</x:v>
      </x:c>
      <x:c r="L94" s="2" t="str">
        <x:v>NXP Semiconductors</x:v>
      </x:c>
      <x:c r="M94" s="31" t="str">
        <x:v>U201; U301</x:v>
      </x:c>
      <x:c r="N94" s="32" t="str">
        <x:v>LQFP-64-1EP_10x10mm_P0.5mm_EP5x5mm_ThermalVias</x:v>
      </x:c>
      <x:c r="O94" s="31" t="str">
        <x:v>SELECTED_CONDITIONAL</x:v>
      </x:c>
      <x:c r="P94" s="31" t="str">
        <x:v>https://www.digikey.com/en/products/detail/nxp-usa-inc/MC33PT2001AE/11590177</x:v>
      </x:c>
      <x:c r="Q94" s="31" t="str">
        <x:v>https://www.nxp.com/docs/en/data-sheet/MC33PT2001_SDS.pdf</x:v>
      </x:c>
      <x:c r="R94" s="31" t="str">
        <x:v>AE72V version retained. Do not infer HAE80V limits. Validate boost clamp overshoot and all gate/current timing on hardware.</x:v>
      </x:c>
    </x:row>
    <x:row r="95" ht="42" customHeight="1">
      <x:c r="A95" s="9" t="str">
        <x:v>MCP6004T-E/ST</x:v>
      </x:c>
      <x:c r="B95" s="10" t="n">
        <x:v>1</x:v>
      </x:c>
      <x:c r="C95" s="13" t="n">
        <x:v>2</x:v>
      </x:c>
      <x:c r="D95" s="22"/>
      <x:c r="E95" s="16" t="n">
        <x:v>6</x:v>
      </x:c>
      <x:c r="F95" s="20" t="n">
        <x:f>ROUND(IF(ISNUMBER(D95),C95*D95,0)+E95+1E-9,2)</x:f>
        <x:v>6</x:v>
      </x:c>
      <x:c r="G95" s="13" t="n">
        <x:v>11</x:v>
      </x:c>
      <x:c r="H95" s="22"/>
      <x:c r="I95" s="16" t="n">
        <x:v>33</x:v>
      </x:c>
      <x:c r="J95" s="20" t="n">
        <x:f>ROUND(IF(ISNUMBER(H95),G95*H95,0)+I95+1E-9,2)</x:f>
        <x:v>33</x:v>
      </x:c>
      <x:c r="K95" s="10" t="str">
        <x:v>NO_PRICE</x:v>
      </x:c>
      <x:c r="L95" s="12" t="str">
        <x:v>Microchip Technology</x:v>
      </x:c>
      <x:c r="M95" s="33" t="str">
        <x:v>U5600</x:v>
      </x:c>
      <x:c r="N95" s="34" t="str">
        <x:v>TSSOP-14_4.4x5mm_P0.65mm</x:v>
      </x:c>
      <x:c r="O95" s="33" t="str">
        <x:v>REFERENCE_MPN_RETAINED</x:v>
      </x:c>
      <x:c r="P95" s="33" t="str">
        <x:v>Оценочный резерв — прайс отсутствует</x:v>
      </x:c>
      <x:c r="Q95" s="33" t="str">
        <x:v>https://www.microchip.com/en-us/product/MCP6004</x:v>
      </x:c>
      <x:c r="R95" s="33" t="str">
        <x:v>Existing schematic MPN retained. Complete circuit rating/temperature and package signoff is still required.</x:v>
      </x:c>
    </x:row>
    <x:row r="96" ht="42" customHeight="1">
      <x:c r="A96" s="9" t="str">
        <x:v>MS1350-6R8M</x:v>
      </x:c>
      <x:c r="B96" s="10" t="n">
        <x:v>2</x:v>
      </x:c>
      <x:c r="C96" s="13" t="n">
        <x:v>3</x:v>
      </x:c>
      <x:c r="D96" s="22"/>
      <x:c r="E96" s="16" t="n">
        <x:v>27</x:v>
      </x:c>
      <x:c r="F96" s="20" t="n">
        <x:f>ROUND(IF(ISNUMBER(D96),C96*D96,0)+E96+1E-9,2)</x:f>
        <x:v>27</x:v>
      </x:c>
      <x:c r="G96" s="13" t="n">
        <x:v>22</x:v>
      </x:c>
      <x:c r="H96" s="22"/>
      <x:c r="I96" s="16" t="n">
        <x:v>198</x:v>
      </x:c>
      <x:c r="J96" s="20" t="n">
        <x:f>ROUND(IF(ISNUMBER(H96),G96*H96,0)+I96+1E-9,2)</x:f>
        <x:v>198</x:v>
      </x:c>
      <x:c r="K96" s="10" t="str">
        <x:v>NO_PRICE</x:v>
      </x:c>
      <x:c r="L96" s="2" t="str">
        <x:v>COILMX</x:v>
      </x:c>
      <x:c r="M96" s="31" t="str">
        <x:v>L201; L301</x:v>
      </x:c>
      <x:c r="N96" s="32" t="str">
        <x:v>L_Wuerth_HCI-1350</x:v>
      </x:c>
      <x:c r="O96" s="31" t="str">
        <x:v>SELECTED_CONDITIONAL</x:v>
      </x:c>
      <x:c r="P96" s="31" t="str">
        <x:v>Оценочный резерв — прайс отсутствует</x:v>
      </x:c>
      <x:c r="Q96" s="31" t="str">
        <x:v>https://jlcpcb.com/partdetail/COILMX-MS13506R8M/C380073</x:v>
      </x:c>
      <x:c r="R96" s="31" t="str">
        <x:v>Original vendor identity recovered. Saturation drop percentage, minimum Isat, hot Irms and DCR max not confirmed; compare actual pads with vendor drawing before purchase.</x:v>
      </x:c>
    </x:row>
    <x:row r="97" ht="42" customHeight="1">
      <x:c r="A97" s="9" t="str">
        <x:v>NCV78M05ABDTRKG</x:v>
      </x:c>
      <x:c r="B97" s="10" t="n">
        <x:v>2</x:v>
      </x:c>
      <x:c r="C97" s="13" t="n">
        <x:v>3</x:v>
      </x:c>
      <x:c r="D97" s="22"/>
      <x:c r="E97" s="16" t="n">
        <x:v>9</x:v>
      </x:c>
      <x:c r="F97" s="20" t="n">
        <x:f>ROUND(IF(ISNUMBER(D97),C97*D97,0)+E97+1E-9,2)</x:f>
        <x:v>9</x:v>
      </x:c>
      <x:c r="G97" s="13" t="n">
        <x:v>22</x:v>
      </x:c>
      <x:c r="H97" s="22"/>
      <x:c r="I97" s="16" t="n">
        <x:v>66</x:v>
      </x:c>
      <x:c r="J97" s="20" t="n">
        <x:f>ROUND(IF(ISNUMBER(H97),G97*H97,0)+I97+1E-9,2)</x:f>
        <x:v>66</x:v>
      </x:c>
      <x:c r="K97" s="10" t="str">
        <x:v>NO_PRICE</x:v>
      </x:c>
      <x:c r="L97" s="12" t="str">
        <x:v>onsemi</x:v>
      </x:c>
      <x:c r="M97" s="33" t="str">
        <x:v>U249; U349</x:v>
      </x:c>
      <x:c r="N97" s="34" t="str">
        <x:v>TO-252-2</x:v>
      </x:c>
      <x:c r="O97" s="33" t="str">
        <x:v>REFERENCE_MPN_RETAINED</x:v>
      </x:c>
      <x:c r="P97" s="33" t="str">
        <x:v>Оценочный резерв — прайс отсутствует</x:v>
      </x:c>
      <x:c r="Q97" s="33" t="str">
        <x:v>https://www.onsemi.com/pdf/datasheet/mc78m00-d.pdf</x:v>
      </x:c>
      <x:c r="R97" s="33" t="str">
        <x:v>Existing schematic MPN retained. Complete circuit rating/temperature and package signoff is still required.</x:v>
      </x:c>
    </x:row>
    <x:row r="98" ht="42" customHeight="1">
      <x:c r="A98" s="9" t="str">
        <x:v>PESD1CAN,215</x:v>
      </x:c>
      <x:c r="B98" s="10" t="n">
        <x:v>1</x:v>
      </x:c>
      <x:c r="C98" s="13" t="n">
        <x:v>2</x:v>
      </x:c>
      <x:c r="D98" s="22"/>
      <x:c r="E98" s="16" t="n">
        <x:v>0.6</x:v>
      </x:c>
      <x:c r="F98" s="20" t="n">
        <x:f>ROUND(IF(ISNUMBER(D98),C98*D98,0)+E98+1E-9,2)</x:f>
        <x:v>0.6</x:v>
      </x:c>
      <x:c r="G98" s="13" t="n">
        <x:v>11</x:v>
      </x:c>
      <x:c r="H98" s="22"/>
      <x:c r="I98" s="16" t="n">
        <x:v>3.3</x:v>
      </x:c>
      <x:c r="J98" s="20" t="n">
        <x:f>ROUND(IF(ISNUMBER(H98),G98*H98,0)+I98+1E-9,2)</x:f>
        <x:v>3.3</x:v>
      </x:c>
      <x:c r="K98" s="10" t="str">
        <x:v>NO_PRICE</x:v>
      </x:c>
      <x:c r="L98" s="2" t="str">
        <x:v>Nexperia</x:v>
      </x:c>
      <x:c r="M98" s="31" t="str">
        <x:v>D5604</x:v>
      </x:c>
      <x:c r="N98" s="32" t="str">
        <x:v>SOT-23</x:v>
      </x:c>
      <x:c r="O98" s="31" t="str">
        <x:v>REFERENCE_MPN_RETAINED</x:v>
      </x:c>
      <x:c r="P98" s="31" t="str">
        <x:v>Оценочный резерв — прайс отсутствует</x:v>
      </x:c>
      <x:c r="Q98" s="31" t="str">
        <x:v>https://www.nexperia.com/product/PESD1CAN</x:v>
      </x:c>
      <x:c r="R98" s="31" t="str">
        <x:v>Existing schematic MPN retained. Complete circuit rating/temperature and package signoff is still required.</x:v>
      </x:c>
    </x:row>
    <x:row r="99" ht="42" customHeight="1">
      <x:c r="A99" s="9" t="str">
        <x:v>PESD2CAN,215</x:v>
      </x:c>
      <x:c r="B99" s="10" t="n">
        <x:v>2</x:v>
      </x:c>
      <x:c r="C99" s="13" t="n">
        <x:v>3</x:v>
      </x:c>
      <x:c r="D99" s="22"/>
      <x:c r="E99" s="16" t="n">
        <x:v>0.9</x:v>
      </x:c>
      <x:c r="F99" s="20" t="n">
        <x:f>ROUND(IF(ISNUMBER(D99),C99*D99,0)+E99+1E-9,2)</x:f>
        <x:v>0.9</x:v>
      </x:c>
      <x:c r="G99" s="13" t="n">
        <x:v>22</x:v>
      </x:c>
      <x:c r="H99" s="22"/>
      <x:c r="I99" s="16" t="n">
        <x:v>6.6</x:v>
      </x:c>
      <x:c r="J99" s="20" t="n">
        <x:f>ROUND(IF(ISNUMBER(H99),G99*H99,0)+I99+1E-9,2)</x:f>
        <x:v>6.6</x:v>
      </x:c>
      <x:c r="K99" s="10" t="str">
        <x:v>NO_PRICE</x:v>
      </x:c>
      <x:c r="L99" s="12" t="str">
        <x:v>Nexperia</x:v>
      </x:c>
      <x:c r="M99" s="33" t="str">
        <x:v>D101; D1501</x:v>
      </x:c>
      <x:c r="N99" s="34" t="str">
        <x:v>SOT-23</x:v>
      </x:c>
      <x:c r="O99" s="33" t="str">
        <x:v>REFERENCE_MPN_RETAINED</x:v>
      </x:c>
      <x:c r="P99" s="33" t="str">
        <x:v>Оценочный резерв — прайс отсутствует</x:v>
      </x:c>
      <x:c r="Q99" s="33" t="str">
        <x:v>https://www.nexperia.com/product/PESD2CAN</x:v>
      </x:c>
      <x:c r="R99" s="33" t="str">
        <x:v>Existing schematic MPN retained. Complete circuit rating/temperature and package signoff is still required.</x:v>
      </x:c>
    </x:row>
    <x:row r="100" ht="42" customHeight="1">
      <x:c r="A100" s="9" t="str">
        <x:v>PNM0603E2502BST5</x:v>
      </x:c>
      <x:c r="B100" s="10" t="n">
        <x:v>1</x:v>
      </x:c>
      <x:c r="C100" s="13" t="n">
        <x:v>21</x:v>
      </x:c>
      <x:c r="D100" s="22"/>
      <x:c r="E100" s="16" t="n">
        <x:v>5.25</x:v>
      </x:c>
      <x:c r="F100" s="20" t="n">
        <x:f>ROUND(IF(ISNUMBER(D100),C100*D100,0)+E100+1E-9,2)</x:f>
        <x:v>5.25</x:v>
      </x:c>
      <x:c r="G100" s="13" t="n">
        <x:v>30</x:v>
      </x:c>
      <x:c r="H100" s="22"/>
      <x:c r="I100" s="16" t="n">
        <x:v>7.5</x:v>
      </x:c>
      <x:c r="J100" s="20" t="n">
        <x:f>ROUND(IF(ISNUMBER(H100),G100*H100,0)+I100+1E-9,2)</x:f>
        <x:v>7.5</x:v>
      </x:c>
      <x:c r="K100" s="10" t="str">
        <x:v>NO_PRICE</x:v>
      </x:c>
      <x:c r="L100" s="2" t="str">
        <x:v>Vishay</x:v>
      </x:c>
      <x:c r="M100" s="31" t="str">
        <x:v>R5201</x:v>
      </x:c>
      <x:c r="N100" s="32" t="str">
        <x:v>0603</x:v>
      </x:c>
      <x:c r="O100" s="31" t="str">
        <x:v>SELECTED_CATALOG_ITEM</x:v>
      </x:c>
      <x:c r="P100" s="31" t="str">
        <x:v>Оценочный резерв — прайс отсутствует</x:v>
      </x:c>
      <x:c r="Q100" s="31" t="str">
        <x:v>https://www.ti.com.cn/cn/lit/df/tidrav4/tidrav4.pdf</x:v>
      </x:c>
      <x:c r="R100" s="31" t="str"/>
    </x:row>
    <x:row r="101" ht="42" customHeight="1">
      <x:c r="A101" s="11" t="str">
        <x:v>REF3033AIDBZR</x:v>
      </x:c>
      <x:c r="B101" s="12" t="n">
        <x:v>1</x:v>
      </x:c>
      <x:c r="C101" s="15" t="n">
        <x:v>2</x:v>
      </x:c>
      <x:c r="D101" s="24" t="n">
        <x:v>1.29</x:v>
      </x:c>
      <x:c r="E101" s="18" t="n">
        <x:v>0</x:v>
      </x:c>
      <x:c r="F101" s="21" t="n">
        <x:f>ROUND(IF(ISNUMBER(D101),C101*D101,0)+E101+1E-9,2)</x:f>
        <x:v>2.58</x:v>
      </x:c>
      <x:c r="G101" s="15" t="n">
        <x:v>11</x:v>
      </x:c>
      <x:c r="H101" s="24" t="n">
        <x:v>0.939</x:v>
      </x:c>
      <x:c r="I101" s="18" t="n">
        <x:v>0</x:v>
      </x:c>
      <x:c r="J101" s="21" t="n">
        <x:f>ROUND(IF(ISNUMBER(H101),G101*H101,0)+I101+1E-9,2)</x:f>
        <x:v>10.33</x:v>
      </x:c>
      <x:c r="K101" s="12" t="str">
        <x:v>CATALOG_PRICE</x:v>
      </x:c>
      <x:c r="L101" s="12" t="str">
        <x:v>Texas Instruments</x:v>
      </x:c>
      <x:c r="M101" s="33" t="str">
        <x:v>U5603</x:v>
      </x:c>
      <x:c r="N101" s="34" t="str">
        <x:v>SOT-23</x:v>
      </x:c>
      <x:c r="O101" s="33" t="str">
        <x:v>REFERENCE_MPN_RETAINED</x:v>
      </x:c>
      <x:c r="P101" s="33" t="str">
        <x:v>https://www.digikey.com/en/products/detail/texas-instruments/REF3033AIDBZR/2254967</x:v>
      </x:c>
      <x:c r="Q101" s="33" t="str">
        <x:v>https://www.ti.com/product/REF3033/part-details/REF3033AIDBZR</x:v>
      </x:c>
      <x:c r="R101" s="33" t="str">
        <x:v>Existing schematic MPN retained. Complete circuit rating/temperature and package signoff is still required.</x:v>
      </x:c>
    </x:row>
    <x:row r="102" ht="42" customHeight="1">
      <x:c r="A102" s="8" t="str">
        <x:v>RG2012P-1403-B-T5</x:v>
      </x:c>
      <x:c r="B102" s="2" t="n">
        <x:v>4</x:v>
      </x:c>
      <x:c r="C102" s="14" t="n">
        <x:v>25</x:v>
      </x:c>
      <x:c r="D102" s="23" t="n">
        <x:v>0.0976</x:v>
      </x:c>
      <x:c r="E102" s="17" t="n">
        <x:v>0</x:v>
      </x:c>
      <x:c r="F102" s="19" t="n">
        <x:f>ROUND(IF(ISNUMBER(D102),C102*D102,0)+E102+1E-9,2)</x:f>
        <x:v>2.44</x:v>
      </x:c>
      <x:c r="G102" s="14" t="n">
        <x:v>60</x:v>
      </x:c>
      <x:c r="H102" s="23" t="n">
        <x:v>0.092</x:v>
      </x:c>
      <x:c r="I102" s="17" t="n">
        <x:v>0</x:v>
      </x:c>
      <x:c r="J102" s="19" t="n">
        <x:f>ROUND(IF(ISNUMBER(H102),G102*H102,0)+I102+1E-9,2)</x:f>
        <x:v>5.52</x:v>
      </x:c>
      <x:c r="K102" s="2" t="str">
        <x:v>CATALOG_PRICE</x:v>
      </x:c>
      <x:c r="L102" s="2" t="str">
        <x:v>Susumu</x:v>
      </x:c>
      <x:c r="M102" s="31" t="str">
        <x:v>R5001; R5051; R6200; R6250</x:v>
      </x:c>
      <x:c r="N102" s="32" t="str">
        <x:v>0805</x:v>
      </x:c>
      <x:c r="O102" s="31" t="str">
        <x:v>SELECTED_CATALOG_ITEM</x:v>
      </x:c>
      <x:c r="P102" s="31" t="str">
        <x:v>https://www.digikey.com/en/products/detail/susumu/RG2012P-1403-B-T5/1241065</x:v>
      </x:c>
      <x:c r="Q102" s="31" t="str">
        <x:v>https://www.digikey.com/en/products/detail/susumu/RG2012P-1403-B-T5/1241065</x:v>
      </x:c>
      <x:c r="R102" s="31" t="str"/>
    </x:row>
    <x:row r="103" ht="42" customHeight="1">
      <x:c r="A103" s="11" t="str">
        <x:v>RNCF0603BTE100K</x:v>
      </x:c>
      <x:c r="B103" s="12" t="n">
        <x:v>37</x:v>
      </x:c>
      <x:c r="C103" s="15" t="n">
        <x:v>57</x:v>
      </x:c>
      <x:c r="D103" s="24" t="n">
        <x:v>0.0704</x:v>
      </x:c>
      <x:c r="E103" s="18" t="n">
        <x:v>0</x:v>
      </x:c>
      <x:c r="F103" s="21" t="n">
        <x:f>ROUND(IF(ISNUMBER(D103),C103*D103,0)+E103+1E-9,2)</x:f>
        <x:v>4.01</x:v>
      </x:c>
      <x:c r="G103" s="15" t="n">
        <x:v>407</x:v>
      </x:c>
      <x:c r="H103" s="24" t="n">
        <x:v>0.06172</x:v>
      </x:c>
      <x:c r="I103" s="18" t="n">
        <x:v>0</x:v>
      </x:c>
      <x:c r="J103" s="21" t="n">
        <x:f>ROUND(IF(ISNUMBER(H103),G103*H103,0)+I103+1E-9,2)</x:f>
        <x:v>25.12</x:v>
      </x:c>
      <x:c r="K103" s="12" t="str">
        <x:v>CATALOG_PRICE</x:v>
      </x:c>
      <x:c r="L103" s="12" t="str">
        <x:v>Stackpole Electronics</x:v>
      </x:c>
      <x:c r="M103" s="33" t="str">
        <x:v>R5200; R5203; R5300; R700; R701; R703; R704; R706; R707; R709; R710; R712; R713; R715; R716; R718; R719; R721; R722; R724; R725; R727; R728; R730; R731; R733; R734; R736; R737; R739; R740; R742; R743; R745; R746; R748; R749</x:v>
      </x:c>
      <x:c r="N103" s="34" t="str">
        <x:v>0603</x:v>
      </x:c>
      <x:c r="O103" s="33" t="str">
        <x:v>SELECTED_CATALOG_ITEM</x:v>
      </x:c>
      <x:c r="P103" s="33" t="str">
        <x:v>https://www.digikey.com/en/products/detail/stackpole-electronics-inc/RNCF0603BTE100K/16890122</x:v>
      </x:c>
      <x:c r="Q103" s="33" t="str">
        <x:v>https://www.digikey.com/en/products/detail/stackpole-electronics-inc/RNCF0603BTE100K/16890122; https://www.seielect.com/Catalog/SEI-RNCF.pdf</x:v>
      </x:c>
      <x:c r="R103" s="33" t="str"/>
    </x:row>
    <x:row r="104" ht="42" customHeight="1">
      <x:c r="A104" s="9" t="str">
        <x:v>RNCF0603BTE10K0</x:v>
      </x:c>
      <x:c r="B104" s="10" t="n">
        <x:v>6</x:v>
      </x:c>
      <x:c r="C104" s="13" t="n">
        <x:v>26</x:v>
      </x:c>
      <x:c r="D104" s="22"/>
      <x:c r="E104" s="16" t="n">
        <x:v>6.5</x:v>
      </x:c>
      <x:c r="F104" s="20" t="n">
        <x:f>ROUND(IF(ISNUMBER(D104),C104*D104,0)+E104+1E-9,2)</x:f>
        <x:v>6.5</x:v>
      </x:c>
      <x:c r="G104" s="13" t="n">
        <x:v>80</x:v>
      </x:c>
      <x:c r="H104" s="22"/>
      <x:c r="I104" s="16" t="n">
        <x:v>20</x:v>
      </x:c>
      <x:c r="J104" s="20" t="n">
        <x:f>ROUND(IF(ISNUMBER(H104),G104*H104,0)+I104+1E-9,2)</x:f>
        <x:v>20</x:v>
      </x:c>
      <x:c r="K104" s="10" t="str">
        <x:v>NO_PRICE</x:v>
      </x:c>
      <x:c r="L104" s="2" t="str">
        <x:v>Stackpole Electronics</x:v>
      </x:c>
      <x:c r="M104" s="31" t="str">
        <x:v>R5002; R5052; R6201; R6251; R790; R791</x:v>
      </x:c>
      <x:c r="N104" s="32" t="str">
        <x:v>0603</x:v>
      </x:c>
      <x:c r="O104" s="31" t="str">
        <x:v>SELECTED_CATALOG_ITEM</x:v>
      </x:c>
      <x:c r="P104" s="31" t="str">
        <x:v>Оценочный резерв — прайс отсутствует</x:v>
      </x:c>
      <x:c r="Q104" s="31" t="str">
        <x:v>https://www.digikey.com/en/products/detail/stackpole-electronics-inc/RNCF0603BTE10K0/4250700; https://www.seielect.com/Catalog/SEI-RNCF.pdf</x:v>
      </x:c>
      <x:c r="R104" s="31" t="str"/>
    </x:row>
    <x:row r="105" ht="42" customHeight="1">
      <x:c r="A105" s="9" t="str">
        <x:v>RNCF0603BTE220R</x:v>
      </x:c>
      <x:c r="B105" s="10" t="n">
        <x:v>1</x:v>
      </x:c>
      <x:c r="C105" s="13" t="n">
        <x:v>21</x:v>
      </x:c>
      <x:c r="D105" s="22"/>
      <x:c r="E105" s="16" t="n">
        <x:v>5.25</x:v>
      </x:c>
      <x:c r="F105" s="20" t="n">
        <x:f>ROUND(IF(ISNUMBER(D105),C105*D105,0)+E105+1E-9,2)</x:f>
        <x:v>5.25</x:v>
      </x:c>
      <x:c r="G105" s="13" t="n">
        <x:v>30</x:v>
      </x:c>
      <x:c r="H105" s="22"/>
      <x:c r="I105" s="16" t="n">
        <x:v>7.5</x:v>
      </x:c>
      <x:c r="J105" s="20" t="n">
        <x:f>ROUND(IF(ISNUMBER(H105),G105*H105,0)+I105+1E-9,2)</x:f>
        <x:v>7.5</x:v>
      </x:c>
      <x:c r="K105" s="10" t="str">
        <x:v>NO_PRICE</x:v>
      </x:c>
      <x:c r="L105" s="12" t="str">
        <x:v>Stackpole Electronics</x:v>
      </x:c>
      <x:c r="M105" s="33" t="str">
        <x:v>R5663</x:v>
      </x:c>
      <x:c r="N105" s="34" t="str">
        <x:v>0603</x:v>
      </x:c>
      <x:c r="O105" s="33" t="str">
        <x:v>SELECTED_CATALOG_ITEM</x:v>
      </x:c>
      <x:c r="P105" s="33" t="str">
        <x:v>Оценочный резерв — прайс отсутствует</x:v>
      </x:c>
      <x:c r="Q105" s="33" t="str">
        <x:v>https://www.mouser.ca/en/ProductDetail/SEI-Stackpole/RNCF0603BTE220R; https://www.seielect.com/Catalog/SEI-RNCF.pdf</x:v>
      </x:c>
      <x:c r="R105" s="33" t="str"/>
    </x:row>
    <x:row r="106" ht="42" customHeight="1">
      <x:c r="A106" s="9" t="str">
        <x:v>RNCF0603BTE30K0</x:v>
      </x:c>
      <x:c r="B106" s="10" t="n">
        <x:v>1</x:v>
      </x:c>
      <x:c r="C106" s="13" t="n">
        <x:v>21</x:v>
      </x:c>
      <x:c r="D106" s="22"/>
      <x:c r="E106" s="16" t="n">
        <x:v>5.25</x:v>
      </x:c>
      <x:c r="F106" s="20" t="n">
        <x:f>ROUND(IF(ISNUMBER(D106),C106*D106,0)+E106+1E-9,2)</x:f>
        <x:v>5.25</x:v>
      </x:c>
      <x:c r="G106" s="13" t="n">
        <x:v>30</x:v>
      </x:c>
      <x:c r="H106" s="22"/>
      <x:c r="I106" s="16" t="n">
        <x:v>7.5</x:v>
      </x:c>
      <x:c r="J106" s="20" t="n">
        <x:f>ROUND(IF(ISNUMBER(H106),G106*H106,0)+I106+1E-9,2)</x:f>
        <x:v>7.5</x:v>
      </x:c>
      <x:c r="K106" s="10" t="str">
        <x:v>NO_PRICE</x:v>
      </x:c>
      <x:c r="L106" s="2" t="str">
        <x:v>Stackpole Electronics</x:v>
      </x:c>
      <x:c r="M106" s="31" t="str">
        <x:v>R5660</x:v>
      </x:c>
      <x:c r="N106" s="32" t="str">
        <x:v>0603</x:v>
      </x:c>
      <x:c r="O106" s="31" t="str">
        <x:v>SELECTED_CATALOG_ITEM</x:v>
      </x:c>
      <x:c r="P106" s="31" t="str">
        <x:v>Оценочный резерв — прайс отсутствует</x:v>
      </x:c>
      <x:c r="Q106" s="31" t="str">
        <x:v>https://www.digikey.com/en/products/detail/stackpole-electronics-inc/RNCF0603BTE30K0/16890249; https://www.seielect.com/Catalog/SEI-RNCF.pdf</x:v>
      </x:c>
      <x:c r="R106" s="31" t="str"/>
    </x:row>
    <x:row r="107" ht="42" customHeight="1">
      <x:c r="A107" s="9" t="str">
        <x:v>RNCF0603BTE32K0</x:v>
      </x:c>
      <x:c r="B107" s="10" t="n">
        <x:v>1</x:v>
      </x:c>
      <x:c r="C107" s="13" t="n">
        <x:v>21</x:v>
      </x:c>
      <x:c r="D107" s="22"/>
      <x:c r="E107" s="16" t="n">
        <x:v>5.25</x:v>
      </x:c>
      <x:c r="F107" s="20" t="n">
        <x:f>ROUND(IF(ISNUMBER(D107),C107*D107,0)+E107+1E-9,2)</x:f>
        <x:v>5.25</x:v>
      </x:c>
      <x:c r="G107" s="13" t="n">
        <x:v>30</x:v>
      </x:c>
      <x:c r="H107" s="22"/>
      <x:c r="I107" s="16" t="n">
        <x:v>7.5</x:v>
      </x:c>
      <x:c r="J107" s="20" t="n">
        <x:f>ROUND(IF(ISNUMBER(H107),G107*H107,0)+I107+1E-9,2)</x:f>
        <x:v>7.5</x:v>
      </x:c>
      <x:c r="K107" s="10" t="str">
        <x:v>NO_PRICE</x:v>
      </x:c>
      <x:c r="L107" s="12" t="str">
        <x:v>Stackpole Electronics</x:v>
      </x:c>
      <x:c r="M107" s="33" t="str">
        <x:v>R5301</x:v>
      </x:c>
      <x:c r="N107" s="34" t="str">
        <x:v>0603</x:v>
      </x:c>
      <x:c r="O107" s="33" t="str">
        <x:v>SELECTED_CATALOG_ITEM</x:v>
      </x:c>
      <x:c r="P107" s="33" t="str">
        <x:v>Оценочный резерв — прайс отсутствует</x:v>
      </x:c>
      <x:c r="Q107" s="33" t="str">
        <x:v>https://www.digikey.com/en/products/detail/stackpole-electronics-inc/RNCF0603BTE32K0/1710094</x:v>
      </x:c>
      <x:c r="R107" s="33" t="str"/>
    </x:row>
    <x:row r="108" ht="42" customHeight="1">
      <x:c r="A108" s="9" t="str">
        <x:v>RNCF0603BTE4K99</x:v>
      </x:c>
      <x:c r="B108" s="10" t="n">
        <x:v>6</x:v>
      </x:c>
      <x:c r="C108" s="13" t="n">
        <x:v>26</x:v>
      </x:c>
      <x:c r="D108" s="22"/>
      <x:c r="E108" s="16" t="n">
        <x:v>6.5</x:v>
      </x:c>
      <x:c r="F108" s="20" t="n">
        <x:f>ROUND(IF(ISNUMBER(D108),C108*D108,0)+E108+1E-9,2)</x:f>
        <x:v>6.5</x:v>
      </x:c>
      <x:c r="G108" s="13" t="n">
        <x:v>80</x:v>
      </x:c>
      <x:c r="H108" s="22"/>
      <x:c r="I108" s="16" t="n">
        <x:v>20</x:v>
      </x:c>
      <x:c r="J108" s="20" t="n">
        <x:f>ROUND(IF(ISNUMBER(H108),G108*H108,0)+I108+1E-9,2)</x:f>
        <x:v>20</x:v>
      </x:c>
      <x:c r="K108" s="10" t="str">
        <x:v>NO_PRICE</x:v>
      </x:c>
      <x:c r="L108" s="2" t="str">
        <x:v>Stackpole Electronics</x:v>
      </x:c>
      <x:c r="M108" s="31" t="str">
        <x:v>R5428; R5448; R5468; R5488; R5508; R5528</x:v>
      </x:c>
      <x:c r="N108" s="32" t="str">
        <x:v>0603</x:v>
      </x:c>
      <x:c r="O108" s="31" t="str">
        <x:v>SELECTED_CATALOG_ITEM</x:v>
      </x:c>
      <x:c r="P108" s="31" t="str">
        <x:v>Оценочный резерв — прайс отсутствует</x:v>
      </x:c>
      <x:c r="Q108" s="31" t="str">
        <x:v>https://www.digikey.com/en/products/detail/stackpole-electronics-inc/RNCF0603BTE4K99/16890134; https://www.seielect.com/Catalog/SEI-RNCF.pdf</x:v>
      </x:c>
      <x:c r="R108" s="31" t="str"/>
    </x:row>
    <x:row r="109" ht="42" customHeight="1">
      <x:c r="A109" s="9" t="str">
        <x:v>RNCF0805BTE470K</x:v>
      </x:c>
      <x:c r="B109" s="10" t="n">
        <x:v>1</x:v>
      </x:c>
      <x:c r="C109" s="13" t="n">
        <x:v>21</x:v>
      </x:c>
      <x:c r="D109" s="22"/>
      <x:c r="E109" s="16" t="n">
        <x:v>5.25</x:v>
      </x:c>
      <x:c r="F109" s="20" t="n">
        <x:f>ROUND(IF(ISNUMBER(D109),C109*D109,0)+E109+1E-9,2)</x:f>
        <x:v>5.25</x:v>
      </x:c>
      <x:c r="G109" s="13" t="n">
        <x:v>30</x:v>
      </x:c>
      <x:c r="H109" s="22"/>
      <x:c r="I109" s="16" t="n">
        <x:v>7.5</x:v>
      </x:c>
      <x:c r="J109" s="20" t="n">
        <x:f>ROUND(IF(ISNUMBER(H109),G109*H109,0)+I109+1E-9,2)</x:f>
        <x:v>7.5</x:v>
      </x:c>
      <x:c r="K109" s="10" t="str">
        <x:v>NO_PRICE</x:v>
      </x:c>
      <x:c r="L109" s="12" t="str">
        <x:v>Stackpole Electronics</x:v>
      </x:c>
      <x:c r="M109" s="33" t="str">
        <x:v>R5202</x:v>
      </x:c>
      <x:c r="N109" s="34" t="str">
        <x:v>0805</x:v>
      </x:c>
      <x:c r="O109" s="33" t="str">
        <x:v>SELECTED_CATALOG_ITEM</x:v>
      </x:c>
      <x:c r="P109" s="33" t="str">
        <x:v>Оценочный резерв — прайс отсутствует</x:v>
      </x:c>
      <x:c r="Q109" s="33" t="str">
        <x:v>https://www.digikey.com/en/products/detail/stackpole-electronics-inc/RNCF0805BTE470K/16890068; https://www.seielect.com/Catalog/SEI-RNCF.pdf</x:v>
      </x:c>
      <x:c r="R109" s="33" t="str"/>
    </x:row>
    <x:row r="110" ht="42" customHeight="1">
      <x:c r="A110" s="9" t="str">
        <x:v>SBR10200CTL-13</x:v>
      </x:c>
      <x:c r="B110" s="10" t="n">
        <x:v>4</x:v>
      </x:c>
      <x:c r="C110" s="13" t="n">
        <x:v>5</x:v>
      </x:c>
      <x:c r="D110" s="22"/>
      <x:c r="E110" s="16" t="n">
        <x:v>12.5</x:v>
      </x:c>
      <x:c r="F110" s="20" t="n">
        <x:f>ROUND(IF(ISNUMBER(D110),C110*D110,0)+E110+1E-9,2)</x:f>
        <x:v>12.5</x:v>
      </x:c>
      <x:c r="G110" s="13" t="n">
        <x:v>44</x:v>
      </x:c>
      <x:c r="H110" s="22"/>
      <x:c r="I110" s="16" t="n">
        <x:v>110</x:v>
      </x:c>
      <x:c r="J110" s="20" t="n">
        <x:f>ROUND(IF(ISNUMBER(H110),G110*H110,0)+I110+1E-9,2)</x:f>
        <x:v>110</x:v>
      </x:c>
      <x:c r="K110" s="10" t="str">
        <x:v>NO_PRICE</x:v>
      </x:c>
      <x:c r="L110" s="2" t="str">
        <x:v>Diodes Incorporated</x:v>
      </x:c>
      <x:c r="M110" s="31" t="str">
        <x:v>D202; D203; D302; D303</x:v>
      </x:c>
      <x:c r="N110" s="32" t="str">
        <x:v>TO-252-2</x:v>
      </x:c>
      <x:c r="O110" s="31" t="str">
        <x:v>SELECTED_CONDITIONAL</x:v>
      </x:c>
      <x:c r="P110" s="31" t="str">
        <x:v>Оценочный резерв — прайс отсутствует</x:v>
      </x:c>
      <x:c r="Q110" s="31" t="str">
        <x:v>https://www.diodes.com/datasheet/download/SBR10200CTL.pdf; https://www.diodes.com/part/view/SBR10200CTL</x:v>
      </x:c>
      <x:c r="R110" s="31" t="str">
        <x:v>Qrr/commutation and actual diode temperature at DI duty not qualified; IFSM is nonrepetitive catalog rating.</x:v>
      </x:c>
    </x:row>
    <x:row r="111" ht="42" customHeight="1">
      <x:c r="A111" s="11" t="str">
        <x:v>SDURB1020CT</x:v>
      </x:c>
      <x:c r="B111" s="12" t="n">
        <x:v>2</x:v>
      </x:c>
      <x:c r="C111" s="15" t="n">
        <x:v>800</x:v>
      </x:c>
      <x:c r="D111" s="24" t="n">
        <x:v>0.35583</x:v>
      </x:c>
      <x:c r="E111" s="18" t="n">
        <x:v>0</x:v>
      </x:c>
      <x:c r="F111" s="21" t="n">
        <x:f>ROUND(IF(ISNUMBER(D111),C111*D111,0)+E111+1E-9,2)</x:f>
        <x:v>284.66</x:v>
      </x:c>
      <x:c r="G111" s="15" t="n">
        <x:v>800</x:v>
      </x:c>
      <x:c r="H111" s="24" t="n">
        <x:v>0.35583</x:v>
      </x:c>
      <x:c r="I111" s="18" t="n">
        <x:v>0</x:v>
      </x:c>
      <x:c r="J111" s="21" t="n">
        <x:f>ROUND(IF(ISNUMBER(H111),G111*H111,0)+I111+1E-9,2)</x:f>
        <x:v>284.66</x:v>
      </x:c>
      <x:c r="K111" s="12" t="str">
        <x:v>CATALOG_PRICE</x:v>
      </x:c>
      <x:c r="L111" s="12" t="str">
        <x:v>SMC Diode Solutions</x:v>
      </x:c>
      <x:c r="M111" s="33" t="str">
        <x:v>D212; D312</x:v>
      </x:c>
      <x:c r="N111" s="34" t="str">
        <x:v>TO-263-2</x:v>
      </x:c>
      <x:c r="O111" s="33" t="str">
        <x:v>SELECTED_CONDITIONAL</x:v>
      </x:c>
      <x:c r="P111" s="33" t="str">
        <x:v>https://www.digikey.com/en/products/detail/smc-diode-solutions/SDURB1020CT/6022622</x:v>
      </x:c>
      <x:c r="Q111" s="33" t="str">
        <x:v>https://www.digikey.com/en/products/detail/smc-diode-solutions/SDURB1020CT/6022622</x:v>
      </x:c>
      <x:c r="R111" s="33" t="str">
        <x:v>DigiKey source only offered MOQ800 full reel in price review. Small-quantity procurement unresolved; do not substitute DPAK or single diode. IFSM/Qrr/thermal margin require manufacturer review.</x:v>
      </x:c>
    </x:row>
    <x:row r="112" ht="42" customHeight="1">
      <x:c r="A112" s="8" t="str">
        <x:v>SIT8924BM-81-33E-1.000000</x:v>
      </x:c>
      <x:c r="B112" s="2" t="n">
        <x:v>2</x:v>
      </x:c>
      <x:c r="C112" s="14" t="n">
        <x:v>3</x:v>
      </x:c>
      <x:c r="D112" s="23" t="n">
        <x:v>26.03</x:v>
      </x:c>
      <x:c r="E112" s="17" t="n">
        <x:v>0</x:v>
      </x:c>
      <x:c r="F112" s="19" t="n">
        <x:f>ROUND(IF(ISNUMBER(D112),C112*D112,0)+E112+1E-9,2)</x:f>
        <x:v>78.09</x:v>
      </x:c>
      <x:c r="G112" s="14" t="n">
        <x:v>22</x:v>
      </x:c>
      <x:c r="H112" s="23" t="n">
        <x:v>22.624</x:v>
      </x:c>
      <x:c r="I112" s="17" t="n">
        <x:v>0</x:v>
      </x:c>
      <x:c r="J112" s="19" t="n">
        <x:f>ROUND(IF(ISNUMBER(H112),G112*H112,0)+I112+1E-9,2)</x:f>
        <x:v>497.73</x:v>
      </x:c>
      <x:c r="K112" s="2" t="str">
        <x:v>CATALOG_PRICE</x:v>
      </x:c>
      <x:c r="L112" s="2" t="str">
        <x:v>SiTime</x:v>
      </x:c>
      <x:c r="M112" s="31" t="str">
        <x:v>Y201; Y301</x:v>
      </x:c>
      <x:c r="N112" s="32" t="str">
        <x:v>Oscillator_SMD_Diodes_FN-4Pin_7.0x5.0mm</x:v>
      </x:c>
      <x:c r="O112" s="31" t="str">
        <x:v>SELECTED_CONDITIONAL</x:v>
      </x:c>
      <x:c r="P112" s="31" t="str">
        <x:v>https://www.digikey.com/en/products/detail/sitime/SIT8924BM-81-33E-1-000000/16053312</x:v>
      </x:c>
      <x:c r="Q112" s="31" t="str">
        <x:v>https://www.digikey.com/en/products/detail/sitime/SIT8924BM-81-33E-1-000000/16053312; https://www.sitime.com/support/resource-library/datasheets/sit8924-datasheet</x:v>
      </x:c>
      <x:c r="R112" s="31" t="str">
        <x:v>Hardware found FN pad mismatch: source span5.08x4.4/pads1.8x2.0 versus selected recommended span5.08x3.81/pads2.2x2.0. Derived footprint update required; clock/OE/thermal bench still pending.</x:v>
      </x:c>
    </x:row>
    <x:row r="113" ht="42" customHeight="1">
      <x:c r="A113" s="9" t="str">
        <x:v>SMBJ24CA</x:v>
      </x:c>
      <x:c r="B113" s="10" t="n">
        <x:v>2</x:v>
      </x:c>
      <x:c r="C113" s="13" t="n">
        <x:v>3</x:v>
      </x:c>
      <x:c r="D113" s="22"/>
      <x:c r="E113" s="16" t="n">
        <x:v>7.5</x:v>
      </x:c>
      <x:c r="F113" s="20" t="n">
        <x:f>ROUND(IF(ISNUMBER(D113),C113*D113,0)+E113+1E-9,2)</x:f>
        <x:v>7.5</x:v>
      </x:c>
      <x:c r="G113" s="13" t="n">
        <x:v>22</x:v>
      </x:c>
      <x:c r="H113" s="22"/>
      <x:c r="I113" s="16" t="n">
        <x:v>55</x:v>
      </x:c>
      <x:c r="J113" s="20" t="n">
        <x:f>ROUND(IF(ISNUMBER(H113),G113*H113,0)+I113+1E-9,2)</x:f>
        <x:v>55</x:v>
      </x:c>
      <x:c r="K113" s="10" t="str">
        <x:v>NO_PRICE</x:v>
      </x:c>
      <x:c r="L113" s="12" t="str">
        <x:v>Littelfuse</x:v>
      </x:c>
      <x:c r="M113" s="33" t="str">
        <x:v>D5201; D5611</x:v>
      </x:c>
      <x:c r="N113" s="34" t="str">
        <x:v>D_SMB</x:v>
      </x:c>
      <x:c r="O113" s="33" t="str">
        <x:v>REFERENCE_MPN_RETAINED</x:v>
      </x:c>
      <x:c r="P113" s="33" t="str">
        <x:v>Оценочный резерв — прайс отсутствует</x:v>
      </x:c>
      <x:c r="Q113" s="33" t="str">
        <x:v>https://www.littelfuse.com/products/tvs-diodes/surface-mount/smbj</x:v>
      </x:c>
      <x:c r="R113" s="33" t="str">
        <x:v>Existing schematic MPN retained. Complete circuit rating/temperature and package signoff is still required.</x:v>
      </x:c>
    </x:row>
    <x:row r="114" ht="42" customHeight="1">
      <x:c r="A114" s="9" t="str">
        <x:v>SMCJ18CA</x:v>
      </x:c>
      <x:c r="B114" s="10" t="n">
        <x:v>2</x:v>
      </x:c>
      <x:c r="C114" s="13" t="n">
        <x:v>3</x:v>
      </x:c>
      <x:c r="D114" s="22"/>
      <x:c r="E114" s="16" t="n">
        <x:v>7.5</x:v>
      </x:c>
      <x:c r="F114" s="20" t="n">
        <x:f>ROUND(IF(ISNUMBER(D114),C114*D114,0)+E114+1E-9,2)</x:f>
        <x:v>7.5</x:v>
      </x:c>
      <x:c r="G114" s="13" t="n">
        <x:v>22</x:v>
      </x:c>
      <x:c r="H114" s="22"/>
      <x:c r="I114" s="16" t="n">
        <x:v>55</x:v>
      </x:c>
      <x:c r="J114" s="20" t="n">
        <x:f>ROUND(IF(ISNUMBER(H114),G114*H114,0)+I114+1E-9,2)</x:f>
        <x:v>55</x:v>
      </x:c>
      <x:c r="K114" s="10" t="str">
        <x:v>NO_PRICE</x:v>
      </x:c>
      <x:c r="L114" s="2" t="str">
        <x:v>Littelfuse</x:v>
      </x:c>
      <x:c r="M114" s="31" t="str">
        <x:v>D6000; D6050</x:v>
      </x:c>
      <x:c r="N114" s="32" t="str">
        <x:v>D_SMC</x:v>
      </x:c>
      <x:c r="O114" s="31" t="str">
        <x:v>REFERENCE_MPN_RETAINED</x:v>
      </x:c>
      <x:c r="P114" s="31" t="str">
        <x:v>Оценочный резерв — прайс отсутствует</x:v>
      </x:c>
      <x:c r="Q114" s="31" t="str">
        <x:v>https://www.littelfuse.com/products/tvs-diodes/surface-mount/smcj</x:v>
      </x:c>
      <x:c r="R114" s="31" t="str">
        <x:v>Existing schematic MPN retained. Complete circuit rating/temperature and package signoff is still required.</x:v>
      </x:c>
    </x:row>
    <x:row r="115" ht="42" customHeight="1">
      <x:c r="A115" s="9" t="str">
        <x:v>SMCJ33CA</x:v>
      </x:c>
      <x:c r="B115" s="10" t="n">
        <x:v>4</x:v>
      </x:c>
      <x:c r="C115" s="13" t="n">
        <x:v>5</x:v>
      </x:c>
      <x:c r="D115" s="22"/>
      <x:c r="E115" s="16" t="n">
        <x:v>12.5</x:v>
      </x:c>
      <x:c r="F115" s="20" t="n">
        <x:f>ROUND(IF(ISNUMBER(D115),C115*D115,0)+E115+1E-9,2)</x:f>
        <x:v>12.5</x:v>
      </x:c>
      <x:c r="G115" s="13" t="n">
        <x:v>44</x:v>
      </x:c>
      <x:c r="H115" s="22"/>
      <x:c r="I115" s="16" t="n">
        <x:v>110</x:v>
      </x:c>
      <x:c r="J115" s="20" t="n">
        <x:f>ROUND(IF(ISNUMBER(H115),G115*H115,0)+I115+1E-9,2)</x:f>
        <x:v>110</x:v>
      </x:c>
      <x:c r="K115" s="10" t="str">
        <x:v>NO_PRICE</x:v>
      </x:c>
      <x:c r="L115" s="12" t="str">
        <x:v>Littelfuse</x:v>
      </x:c>
      <x:c r="M115" s="33" t="str">
        <x:v>D5001; D5051; D6200; D6250</x:v>
      </x:c>
      <x:c r="N115" s="34" t="str">
        <x:v>D_SMC</x:v>
      </x:c>
      <x:c r="O115" s="33" t="str">
        <x:v>REFERENCE_MPN_RETAINED</x:v>
      </x:c>
      <x:c r="P115" s="33" t="str">
        <x:v>Оценочный резерв — прайс отсутствует</x:v>
      </x:c>
      <x:c r="Q115" s="33" t="str">
        <x:v>https://www.littelfuse.com/products/tvs-diodes/surface-mount/smcj</x:v>
      </x:c>
      <x:c r="R115" s="33" t="str">
        <x:v>Existing schematic MPN retained. Complete circuit rating/temperature and package signoff is still required.</x:v>
      </x:c>
    </x:row>
    <x:row r="116" ht="42" customHeight="1">
      <x:c r="A116" s="9" t="str">
        <x:v>SN74AHCT1G125QDBVRQ1</x:v>
      </x:c>
      <x:c r="B116" s="10" t="n">
        <x:v>1</x:v>
      </x:c>
      <x:c r="C116" s="13" t="n">
        <x:v>2</x:v>
      </x:c>
      <x:c r="D116" s="22"/>
      <x:c r="E116" s="16" t="n">
        <x:v>2.4</x:v>
      </x:c>
      <x:c r="F116" s="20" t="n">
        <x:f>ROUND(IF(ISNUMBER(D116),C116*D116,0)+E116+1E-9,2)</x:f>
        <x:v>2.4</x:v>
      </x:c>
      <x:c r="G116" s="13" t="n">
        <x:v>11</x:v>
      </x:c>
      <x:c r="H116" s="22"/>
      <x:c r="I116" s="16" t="n">
        <x:v>13.2</x:v>
      </x:c>
      <x:c r="J116" s="20" t="n">
        <x:f>ROUND(IF(ISNUMBER(H116),G116*H116,0)+I116+1E-9,2)</x:f>
        <x:v>13.2</x:v>
      </x:c>
      <x:c r="K116" s="10" t="str">
        <x:v>NO_PRICE</x:v>
      </x:c>
      <x:c r="L116" s="2" t="str">
        <x:v>Texas Instruments</x:v>
      </x:c>
      <x:c r="M116" s="31" t="str">
        <x:v>U5611</x:v>
      </x:c>
      <x:c r="N116" s="32" t="str">
        <x:v>SOT-23-5</x:v>
      </x:c>
      <x:c r="O116" s="31" t="str">
        <x:v>REFERENCE_MPN_RETAINED</x:v>
      </x:c>
      <x:c r="P116" s="31" t="str">
        <x:v>Оценочный резерв — прайс отсутствует</x:v>
      </x:c>
      <x:c r="Q116" s="31" t="str">
        <x:v>https://www.ti.com/product/SN74AHCT1G125-Q1/part-details/SN74AHCT1G125QDBVRQ1</x:v>
      </x:c>
      <x:c r="R116" s="31" t="str">
        <x:v>Existing schematic MPN retained. Complete circuit rating/temperature and package signoff is still required.</x:v>
      </x:c>
    </x:row>
    <x:row r="117" ht="42" customHeight="1">
      <x:c r="A117" s="9" t="str">
        <x:v>SN74AHCT244QPWRQ1</x:v>
      </x:c>
      <x:c r="B117" s="10" t="n">
        <x:v>1</x:v>
      </x:c>
      <x:c r="C117" s="13" t="n">
        <x:v>2</x:v>
      </x:c>
      <x:c r="D117" s="22"/>
      <x:c r="E117" s="16" t="n">
        <x:v>2.4</x:v>
      </x:c>
      <x:c r="F117" s="20" t="n">
        <x:f>ROUND(IF(ISNUMBER(D117),C117*D117,0)+E117+1E-9,2)</x:f>
        <x:v>2.4</x:v>
      </x:c>
      <x:c r="G117" s="13" t="n">
        <x:v>11</x:v>
      </x:c>
      <x:c r="H117" s="22"/>
      <x:c r="I117" s="16" t="n">
        <x:v>13.2</x:v>
      </x:c>
      <x:c r="J117" s="20" t="n">
        <x:f>ROUND(IF(ISNUMBER(H117),G117*H117,0)+I117+1E-9,2)</x:f>
        <x:v>13.2</x:v>
      </x:c>
      <x:c r="K117" s="10" t="str">
        <x:v>NO_PRICE</x:v>
      </x:c>
      <x:c r="L117" s="12" t="str">
        <x:v>Texas Instruments</x:v>
      </x:c>
      <x:c r="M117" s="33" t="str">
        <x:v>U1702</x:v>
      </x:c>
      <x:c r="N117" s="34" t="str">
        <x:v>Texas_PW0020A_TSSOP-20_4.4x6.5mm_P0.65mm</x:v>
      </x:c>
      <x:c r="O117" s="33" t="str">
        <x:v>REFERENCE_MPN_RETAINED</x:v>
      </x:c>
      <x:c r="P117" s="33" t="str">
        <x:v>Оценочный резерв — прайс отсутствует</x:v>
      </x:c>
      <x:c r="Q117" s="33" t="str">
        <x:v>https://www.ti.com/product/SN74AHCT244-Q1/part-details/SN74AHCT244QPWRQ1</x:v>
      </x:c>
      <x:c r="R117" s="33" t="str">
        <x:v>Existing schematic MPN retained. Complete circuit rating/temperature and package signoff is still required.</x:v>
      </x:c>
    </x:row>
    <x:row r="118" ht="42" customHeight="1">
      <x:c r="A118" s="8" t="str">
        <x:v>SN74LVC14AQPWRQ1</x:v>
      </x:c>
      <x:c r="B118" s="2" t="n">
        <x:v>9</x:v>
      </x:c>
      <x:c r="C118" s="14" t="n">
        <x:v>10</x:v>
      </x:c>
      <x:c r="D118" s="23" t="n">
        <x:v>0.381</x:v>
      </x:c>
      <x:c r="E118" s="17" t="n">
        <x:v>0</x:v>
      </x:c>
      <x:c r="F118" s="19" t="n">
        <x:f>ROUND(IF(ISNUMBER(D118),C118*D118,0)+E118+1E-9,2)</x:f>
        <x:v>3.81</x:v>
      </x:c>
      <x:c r="G118" s="14" t="n">
        <x:v>100</x:v>
      </x:c>
      <x:c r="H118" s="23" t="n">
        <x:v>0.2967</x:v>
      </x:c>
      <x:c r="I118" s="17" t="n">
        <x:v>0</x:v>
      </x:c>
      <x:c r="J118" s="19" t="n">
        <x:f>ROUND(IF(ISNUMBER(H118),G118*H118,0)+I118+1E-9,2)</x:f>
        <x:v>29.67</x:v>
      </x:c>
      <x:c r="K118" s="2" t="str">
        <x:v>CATALOG_PRICE</x:v>
      </x:c>
      <x:c r="L118" s="2" t="str">
        <x:v>Texas Instruments</x:v>
      </x:c>
      <x:c r="M118" s="31" t="str">
        <x:v>U1121; U1122; U1123; U1124; U1125; U1126; U1600; U721; U722</x:v>
      </x:c>
      <x:c r="N118" s="32" t="str">
        <x:v>TSSOP-14_4.4x5mm_P0.65mm</x:v>
      </x:c>
      <x:c r="O118" s="31" t="str">
        <x:v>REFERENCE_MPN_RETAINED</x:v>
      </x:c>
      <x:c r="P118" s="31" t="str">
        <x:v>https://www.digikey.com/en/products/detail/texas-instruments/SN74LVC14AQPWRQ1/2682870</x:v>
      </x:c>
      <x:c r="Q118" s="31" t="str">
        <x:v>https://www.ti.com/product/SN74LVC14A-Q1/part-details/SN74LVC14AQPWRQ1</x:v>
      </x:c>
      <x:c r="R118" s="31" t="str">
        <x:v>Existing schematic MPN retained. Complete circuit rating/temperature and package signoff is still required.</x:v>
      </x:c>
    </x:row>
    <x:row r="119" ht="42" customHeight="1">
      <x:c r="A119" s="9" t="str">
        <x:v>SN74LVC1G08QDBVRQ1</x:v>
      </x:c>
      <x:c r="B119" s="10" t="n">
        <x:v>1</x:v>
      </x:c>
      <x:c r="C119" s="13" t="n">
        <x:v>2</x:v>
      </x:c>
      <x:c r="D119" s="22"/>
      <x:c r="E119" s="16" t="n">
        <x:v>2.4</x:v>
      </x:c>
      <x:c r="F119" s="20" t="n">
        <x:f>ROUND(IF(ISNUMBER(D119),C119*D119,0)+E119+1E-9,2)</x:f>
        <x:v>2.4</x:v>
      </x:c>
      <x:c r="G119" s="13" t="n">
        <x:v>11</x:v>
      </x:c>
      <x:c r="H119" s="22"/>
      <x:c r="I119" s="16" t="n">
        <x:v>13.2</x:v>
      </x:c>
      <x:c r="J119" s="20" t="n">
        <x:f>ROUND(IF(ISNUMBER(H119),G119*H119,0)+I119+1E-9,2)</x:f>
        <x:v>13.2</x:v>
      </x:c>
      <x:c r="K119" s="10" t="str">
        <x:v>NO_PRICE</x:v>
      </x:c>
      <x:c r="L119" s="12" t="str">
        <x:v>Texas Instruments</x:v>
      </x:c>
      <x:c r="M119" s="33" t="str">
        <x:v>U5610</x:v>
      </x:c>
      <x:c r="N119" s="34" t="str">
        <x:v>SOT-23-5</x:v>
      </x:c>
      <x:c r="O119" s="33" t="str">
        <x:v>REFERENCE_MPN_RETAINED</x:v>
      </x:c>
      <x:c r="P119" s="33" t="str">
        <x:v>Оценочный резерв — прайс отсутствует</x:v>
      </x:c>
      <x:c r="Q119" s="33" t="str">
        <x:v>https://www.ti.com/product/SN74LVC1G08-Q1/part-details/SN74LVC1G08QDBVRQ1</x:v>
      </x:c>
      <x:c r="R119" s="33" t="str">
        <x:v>Existing schematic MPN retained. Complete circuit rating/temperature and package signoff is still required.</x:v>
      </x:c>
    </x:row>
    <x:row r="120" ht="42" customHeight="1">
      <x:c r="A120" s="9" t="str">
        <x:v>SN74LVC1G11BDCKRQ1</x:v>
      </x:c>
      <x:c r="B120" s="10" t="n">
        <x:v>7</x:v>
      </x:c>
      <x:c r="C120" s="13" t="n">
        <x:v>8</x:v>
      </x:c>
      <x:c r="D120" s="22"/>
      <x:c r="E120" s="16" t="n">
        <x:v>9.6</x:v>
      </x:c>
      <x:c r="F120" s="20" t="n">
        <x:f>ROUND(IF(ISNUMBER(D120),C120*D120,0)+E120+1E-9,2)</x:f>
        <x:v>9.6</x:v>
      </x:c>
      <x:c r="G120" s="13" t="n">
        <x:v>77</x:v>
      </x:c>
      <x:c r="H120" s="22"/>
      <x:c r="I120" s="16" t="n">
        <x:v>92.4</x:v>
      </x:c>
      <x:c r="J120" s="20" t="n">
        <x:f>ROUND(IF(ISNUMBER(H120),G120*H120,0)+I120+1E-9,2)</x:f>
        <x:v>92.4</x:v>
      </x:c>
      <x:c r="K120" s="10" t="str">
        <x:v>NO_PRICE</x:v>
      </x:c>
      <x:c r="L120" s="2" t="str">
        <x:v>Texas Instruments</x:v>
      </x:c>
      <x:c r="M120" s="31" t="str">
        <x:v>U5401; U5421; U5441; U5461; U5481; U5501; U5521</x:v>
      </x:c>
      <x:c r="N120" s="32" t="str">
        <x:v>SOT-363_SC-70-6</x:v>
      </x:c>
      <x:c r="O120" s="31" t="str">
        <x:v>REFERENCE_MPN_RETAINED</x:v>
      </x:c>
      <x:c r="P120" s="31" t="str">
        <x:v>Оценочный резерв — прайс отсутствует</x:v>
      </x:c>
      <x:c r="Q120" s="31" t="str">
        <x:v>https://www.ti.com/product/SN74LVC1G11B-Q1/part-details/SN74LVC1G11BDCKRQ1</x:v>
      </x:c>
      <x:c r="R120" s="31" t="str">
        <x:v>Existing schematic MPN retained. Complete circuit rating/temperature and package signoff is still required.</x:v>
      </x:c>
    </x:row>
    <x:row r="121" ht="42" customHeight="1">
      <x:c r="A121" s="9" t="str">
        <x:v>SN74LVC1G125QDBVRQ1</x:v>
      </x:c>
      <x:c r="B121" s="10" t="n">
        <x:v>1</x:v>
      </x:c>
      <x:c r="C121" s="13" t="n">
        <x:v>2</x:v>
      </x:c>
      <x:c r="D121" s="22"/>
      <x:c r="E121" s="16" t="n">
        <x:v>2.4</x:v>
      </x:c>
      <x:c r="F121" s="20" t="n">
        <x:f>ROUND(IF(ISNUMBER(D121),C121*D121,0)+E121+1E-9,2)</x:f>
        <x:v>2.4</x:v>
      </x:c>
      <x:c r="G121" s="13" t="n">
        <x:v>11</x:v>
      </x:c>
      <x:c r="H121" s="22"/>
      <x:c r="I121" s="16" t="n">
        <x:v>13.2</x:v>
      </x:c>
      <x:c r="J121" s="20" t="n">
        <x:f>ROUND(IF(ISNUMBER(H121),G121*H121,0)+I121+1E-9,2)</x:f>
        <x:v>13.2</x:v>
      </x:c>
      <x:c r="K121" s="10" t="str">
        <x:v>NO_PRICE</x:v>
      </x:c>
      <x:c r="L121" s="12" t="str">
        <x:v>Texas Instruments</x:v>
      </x:c>
      <x:c r="M121" s="33" t="str">
        <x:v>U6190</x:v>
      </x:c>
      <x:c r="N121" s="34" t="str">
        <x:v>SOT-23-5</x:v>
      </x:c>
      <x:c r="O121" s="33" t="str">
        <x:v>REFERENCE_MPN_RETAINED</x:v>
      </x:c>
      <x:c r="P121" s="33" t="str">
        <x:v>Оценочный резерв — прайс отсутствует</x:v>
      </x:c>
      <x:c r="Q121" s="33" t="str">
        <x:v>https://www.ti.com/product/SN74LVC1G125-Q1/part-details/SN74LVC1G125QDBVRQ1</x:v>
      </x:c>
      <x:c r="R121" s="33" t="str">
        <x:v>Existing schematic MPN retained. Complete circuit rating/temperature and package signoff is still required.</x:v>
      </x:c>
    </x:row>
    <x:row r="122" ht="42" customHeight="1">
      <x:c r="A122" s="9" t="str">
        <x:v>SN74LVC1G17QDBVRQ1</x:v>
      </x:c>
      <x:c r="B122" s="10" t="n">
        <x:v>3</x:v>
      </x:c>
      <x:c r="C122" s="13" t="n">
        <x:v>4</x:v>
      </x:c>
      <x:c r="D122" s="22"/>
      <x:c r="E122" s="16" t="n">
        <x:v>4.8</x:v>
      </x:c>
      <x:c r="F122" s="20" t="n">
        <x:f>ROUND(IF(ISNUMBER(D122),C122*D122,0)+E122+1E-9,2)</x:f>
        <x:v>4.8</x:v>
      </x:c>
      <x:c r="G122" s="13" t="n">
        <x:v>33</x:v>
      </x:c>
      <x:c r="H122" s="22"/>
      <x:c r="I122" s="16" t="n">
        <x:v>39.6</x:v>
      </x:c>
      <x:c r="J122" s="20" t="n">
        <x:f>ROUND(IF(ISNUMBER(H122),G122*H122,0)+I122+1E-9,2)</x:f>
        <x:v>39.6</x:v>
      </x:c>
      <x:c r="K122" s="10" t="str">
        <x:v>NO_PRICE</x:v>
      </x:c>
      <x:c r="L122" s="2" t="str">
        <x:v>Texas Instruments</x:v>
      </x:c>
      <x:c r="M122" s="31" t="str">
        <x:v>U1140; U5400; U803</x:v>
      </x:c>
      <x:c r="N122" s="32" t="str">
        <x:v>SOT-23-5</x:v>
      </x:c>
      <x:c r="O122" s="31" t="str">
        <x:v>REFERENCE_MPN_RETAINED</x:v>
      </x:c>
      <x:c r="P122" s="31" t="str">
        <x:v>Оценочный резерв — прайс отсутствует</x:v>
      </x:c>
      <x:c r="Q122" s="31" t="str">
        <x:v>https://www.ti.com/product/SN74LVC1G17-Q1/part-details/SN74LVC1G17QDBVRQ1</x:v>
      </x:c>
      <x:c r="R122" s="31" t="str">
        <x:v>Existing schematic MPN retained. Complete circuit rating/temperature and package signoff is still required.</x:v>
      </x:c>
    </x:row>
    <x:row r="123" ht="42" customHeight="1">
      <x:c r="A123" s="9" t="str">
        <x:v>SN74LVC1G32QDBVRQ1</x:v>
      </x:c>
      <x:c r="B123" s="10" t="n">
        <x:v>2</x:v>
      </x:c>
      <x:c r="C123" s="13" t="n">
        <x:v>3</x:v>
      </x:c>
      <x:c r="D123" s="22"/>
      <x:c r="E123" s="16" t="n">
        <x:v>3.6</x:v>
      </x:c>
      <x:c r="F123" s="20" t="n">
        <x:f>ROUND(IF(ISNUMBER(D123),C123*D123,0)+E123+1E-9,2)</x:f>
        <x:v>3.6</x:v>
      </x:c>
      <x:c r="G123" s="13" t="n">
        <x:v>22</x:v>
      </x:c>
      <x:c r="H123" s="22"/>
      <x:c r="I123" s="16" t="n">
        <x:v>26.4</x:v>
      </x:c>
      <x:c r="J123" s="20" t="n">
        <x:f>ROUND(IF(ISNUMBER(H123),G123*H123,0)+I123+1E-9,2)</x:f>
        <x:v>26.4</x:v>
      </x:c>
      <x:c r="K123" s="10" t="str">
        <x:v>NO_PRICE</x:v>
      </x:c>
      <x:c r="L123" s="12" t="str">
        <x:v>Texas Instruments</x:v>
      </x:c>
      <x:c r="M123" s="33" t="str">
        <x:v>U6001; U6051</x:v>
      </x:c>
      <x:c r="N123" s="34" t="str">
        <x:v>SOT-23-5</x:v>
      </x:c>
      <x:c r="O123" s="33" t="str">
        <x:v>REFERENCE_MPN_RETAINED</x:v>
      </x:c>
      <x:c r="P123" s="33" t="str">
        <x:v>Оценочный резерв — прайс отсутствует</x:v>
      </x:c>
      <x:c r="Q123" s="33" t="str">
        <x:v>https://www.ti.com/product/SN74LVC1G32-Q1/part-details/SN74LVC1G32QDBVRQ1</x:v>
      </x:c>
      <x:c r="R123" s="33" t="str">
        <x:v>Existing schematic MPN retained. Complete circuit rating/temperature and package signoff is still required.</x:v>
      </x:c>
    </x:row>
    <x:row r="124" ht="42" customHeight="1">
      <x:c r="A124" s="9" t="str">
        <x:v>SN74LVC2G08QDCURQ1</x:v>
      </x:c>
      <x:c r="B124" s="10" t="n">
        <x:v>1</x:v>
      </x:c>
      <x:c r="C124" s="13" t="n">
        <x:v>2</x:v>
      </x:c>
      <x:c r="D124" s="22"/>
      <x:c r="E124" s="16" t="n">
        <x:v>2.4</x:v>
      </x:c>
      <x:c r="F124" s="20" t="n">
        <x:f>ROUND(IF(ISNUMBER(D124),C124*D124,0)+E124+1E-9,2)</x:f>
        <x:v>2.4</x:v>
      </x:c>
      <x:c r="G124" s="13" t="n">
        <x:v>11</x:v>
      </x:c>
      <x:c r="H124" s="22"/>
      <x:c r="I124" s="16" t="n">
        <x:v>13.2</x:v>
      </x:c>
      <x:c r="J124" s="20" t="n">
        <x:f>ROUND(IF(ISNUMBER(H124),G124*H124,0)+I124+1E-9,2)</x:f>
        <x:v>13.2</x:v>
      </x:c>
      <x:c r="K124" s="10" t="str">
        <x:v>NO_PRICE</x:v>
      </x:c>
      <x:c r="L124" s="2" t="str">
        <x:v>Texas Instruments</x:v>
      </x:c>
      <x:c r="M124" s="31" t="str">
        <x:v>U5101</x:v>
      </x:c>
      <x:c r="N124" s="32" t="str">
        <x:v>VSSOP-8_2.3x2mm_P0.5mm</x:v>
      </x:c>
      <x:c r="O124" s="31" t="str">
        <x:v>REFERENCE_MPN_RETAINED</x:v>
      </x:c>
      <x:c r="P124" s="31" t="str">
        <x:v>Оценочный резерв — прайс отсутствует</x:v>
      </x:c>
      <x:c r="Q124" s="31" t="str">
        <x:v>https://www.ti.com/product/SN74LVC2G08-Q1/part-details/SN74LVC2G08QDCURQ1</x:v>
      </x:c>
      <x:c r="R124" s="31" t="str">
        <x:v>Existing schematic MPN retained. Complete circuit rating/temperature and package signoff is still required.</x:v>
      </x:c>
    </x:row>
    <x:row r="125" ht="42" customHeight="1">
      <x:c r="A125" s="9" t="str">
        <x:v>SN74LVC2G74QDCURQ1</x:v>
      </x:c>
      <x:c r="B125" s="10" t="n">
        <x:v>1</x:v>
      </x:c>
      <x:c r="C125" s="13" t="n">
        <x:v>2</x:v>
      </x:c>
      <x:c r="D125" s="22"/>
      <x:c r="E125" s="16" t="n">
        <x:v>2.4</x:v>
      </x:c>
      <x:c r="F125" s="20" t="n">
        <x:f>ROUND(IF(ISNUMBER(D125),C125*D125,0)+E125+1E-9,2)</x:f>
        <x:v>2.4</x:v>
      </x:c>
      <x:c r="G125" s="13" t="n">
        <x:v>11</x:v>
      </x:c>
      <x:c r="H125" s="22"/>
      <x:c r="I125" s="16" t="n">
        <x:v>13.2</x:v>
      </x:c>
      <x:c r="J125" s="20" t="n">
        <x:f>ROUND(IF(ISNUMBER(H125),G125*H125,0)+I125+1E-9,2)</x:f>
        <x:v>13.2</x:v>
      </x:c>
      <x:c r="K125" s="10" t="str">
        <x:v>NO_PRICE</x:v>
      </x:c>
      <x:c r="L125" s="12" t="str">
        <x:v>Texas Instruments</x:v>
      </x:c>
      <x:c r="M125" s="33" t="str">
        <x:v>U804</x:v>
      </x:c>
      <x:c r="N125" s="34" t="str">
        <x:v>VSSOP-8_2.3x2mm_P0.5mm</x:v>
      </x:c>
      <x:c r="O125" s="33" t="str">
        <x:v>REFERENCE_MPN_RETAINED</x:v>
      </x:c>
      <x:c r="P125" s="33" t="str">
        <x:v>Оценочный резерв — прайс отсутствует</x:v>
      </x:c>
      <x:c r="Q125" s="33" t="str">
        <x:v>https://www.ti.com/product/SN74LVC2G74-Q1/part-details/SN74LVC2G74QDCURQ1</x:v>
      </x:c>
      <x:c r="R125" s="33" t="str">
        <x:v>Existing schematic MPN retained. Complete circuit rating/temperature and package signoff is still required.</x:v>
      </x:c>
    </x:row>
    <x:row r="126" ht="42" customHeight="1">
      <x:c r="A126" s="8" t="str">
        <x:v>STGB18N40LZT4</x:v>
      </x:c>
      <x:c r="B126" s="2" t="n">
        <x:v>6</x:v>
      </x:c>
      <x:c r="C126" s="14" t="n">
        <x:v>10</x:v>
      </x:c>
      <x:c r="D126" s="23" t="n">
        <x:v>1.69</x:v>
      </x:c>
      <x:c r="E126" s="17" t="n">
        <x:v>0</x:v>
      </x:c>
      <x:c r="F126" s="19" t="n">
        <x:f>ROUND(IF(ISNUMBER(D126),C126*D126,0)+E126+1E-9,2)</x:f>
        <x:v>16.9</x:v>
      </x:c>
      <x:c r="G126" s="14" t="n">
        <x:v>66</x:v>
      </x:c>
      <x:c r="H126" s="23" t="n">
        <x:v>1.69</x:v>
      </x:c>
      <x:c r="I126" s="17" t="n">
        <x:v>0</x:v>
      </x:c>
      <x:c r="J126" s="19" t="n">
        <x:f>ROUND(IF(ISNUMBER(H126),G126*H126,0)+I126+1E-9,2)</x:f>
        <x:v>111.54</x:v>
      </x:c>
      <x:c r="K126" s="2" t="str">
        <x:v>CATALOG_PRICE</x:v>
      </x:c>
      <x:c r="L126" s="2" t="str">
        <x:v>STMicroelectronics</x:v>
      </x:c>
      <x:c r="M126" s="31" t="str">
        <x:v>Q5420; Q5440; Q5460; Q5480; Q5500; Q5520</x:v>
      </x:c>
      <x:c r="N126" s="32" t="str">
        <x:v>TO-263-2</x:v>
      </x:c>
      <x:c r="O126" s="31" t="str">
        <x:v>REFERENCE_MPN_RETAINED</x:v>
      </x:c>
      <x:c r="P126" s="31" t="str">
        <x:v>https://www.digikey.com/en/products/detail/stmicroelectronics/STGB18N40LZT4/1880196</x:v>
      </x:c>
      <x:c r="Q126" s="31" t="str">
        <x:v>https://www.st.com/en/search.html#q=STGB18N40LZT4</x:v>
      </x:c>
      <x:c r="R126" s="31" t="str">
        <x:v>Existing schematic MPN retained. Complete circuit rating/temperature and package signoff is still required.</x:v>
      </x:c>
    </x:row>
    <x:row r="127" ht="42" customHeight="1">
      <x:c r="A127" s="11" t="str">
        <x:v>STM32F042K6T6</x:v>
      </x:c>
      <x:c r="B127" s="12" t="n">
        <x:v>1</x:v>
      </x:c>
      <x:c r="C127" s="15" t="n">
        <x:v>2</x:v>
      </x:c>
      <x:c r="D127" s="24" t="n">
        <x:v>4.34</x:v>
      </x:c>
      <x:c r="E127" s="18" t="n">
        <x:v>0</x:v>
      </x:c>
      <x:c r="F127" s="21" t="n">
        <x:f>ROUND(IF(ISNUMBER(D127),C127*D127,0)+E127+1E-9,2)</x:f>
        <x:v>8.68</x:v>
      </x:c>
      <x:c r="G127" s="15" t="n">
        <x:v>11</x:v>
      </x:c>
      <x:c r="H127" s="24" t="n">
        <x:v>3.277</x:v>
      </x:c>
      <x:c r="I127" s="18" t="n">
        <x:v>0</x:v>
      </x:c>
      <x:c r="J127" s="21" t="n">
        <x:f>ROUND(IF(ISNUMBER(H127),G127*H127,0)+I127+1E-9,2)</x:f>
        <x:v>36.05</x:v>
      </x:c>
      <x:c r="K127" s="12" t="str">
        <x:v>CATALOG_PRICE</x:v>
      </x:c>
      <x:c r="L127" s="12" t="str">
        <x:v>STMicroelectronics</x:v>
      </x:c>
      <x:c r="M127" s="33" t="str">
        <x:v>U5602</x:v>
      </x:c>
      <x:c r="N127" s="34" t="str">
        <x:v>LQFP-32_7x7mm_P0.8mm</x:v>
      </x:c>
      <x:c r="O127" s="33" t="str">
        <x:v>REFERENCE_MPN_RETAINED</x:v>
      </x:c>
      <x:c r="P127" s="33" t="str">
        <x:v>https://www.digikey.com/en/products/detail/stmicroelectronics/STM32F042K6T6/4815294</x:v>
      </x:c>
      <x:c r="Q127" s="33" t="str">
        <x:v>https://www.st.com/en/search.html#q=STM32F042K6T6</x:v>
      </x:c>
      <x:c r="R127" s="33" t="str">
        <x:v>Existing schematic MPN retained. Complete circuit rating/temperature and package signoff is still required.</x:v>
      </x:c>
    </x:row>
    <x:row r="128" ht="42" customHeight="1">
      <x:c r="A128" s="8" t="str">
        <x:v>STM32F767IIT6</x:v>
      </x:c>
      <x:c r="B128" s="2" t="n">
        <x:v>1</x:v>
      </x:c>
      <x:c r="C128" s="14" t="n">
        <x:v>2</x:v>
      </x:c>
      <x:c r="D128" s="23" t="n">
        <x:v>28.09</x:v>
      </x:c>
      <x:c r="E128" s="17" t="n">
        <x:v>0</x:v>
      </x:c>
      <x:c r="F128" s="19" t="n">
        <x:f>ROUND(IF(ISNUMBER(D128),C128*D128,0)+E128+1E-9,2)</x:f>
        <x:v>56.18</x:v>
      </x:c>
      <x:c r="G128" s="14" t="n">
        <x:v>11</x:v>
      </x:c>
      <x:c r="H128" s="23" t="n">
        <x:v>22.516</x:v>
      </x:c>
      <x:c r="I128" s="17" t="n">
        <x:v>0</x:v>
      </x:c>
      <x:c r="J128" s="19" t="n">
        <x:f>ROUND(IF(ISNUMBER(H128),G128*H128,0)+I128+1E-9,2)</x:f>
        <x:v>247.68</x:v>
      </x:c>
      <x:c r="K128" s="2" t="str">
        <x:v>CATALOG_PRICE</x:v>
      </x:c>
      <x:c r="L128" s="2" t="str">
        <x:v>STMicroelectronics</x:v>
      </x:c>
      <x:c r="M128" s="31" t="str">
        <x:v>U101</x:v>
      </x:c>
      <x:c r="N128" s="32" t="str">
        <x:v>LQFP-176_24x24mm_P0.5mm</x:v>
      </x:c>
      <x:c r="O128" s="31" t="str">
        <x:v>REFERENCE_MPN_RETAINED</x:v>
      </x:c>
      <x:c r="P128" s="31" t="str">
        <x:v>https://www.digikey.com/en/products/detail/stmicroelectronics/STM32F767IIT6/6137850</x:v>
      </x:c>
      <x:c r="Q128" s="31" t="str">
        <x:v>https://www.st.com/en/search.html#q=STM32F767IIT6</x:v>
      </x:c>
      <x:c r="R128" s="31" t="str">
        <x:v>Existing schematic MPN retained. Complete circuit rating/temperature and package signoff is still required.</x:v>
      </x:c>
    </x:row>
    <x:row r="129" ht="42" customHeight="1">
      <x:c r="A129" s="11" t="str">
        <x:v>STPS2H100UY</x:v>
      </x:c>
      <x:c r="B129" s="12" t="n">
        <x:v>16</x:v>
      </x:c>
      <x:c r="C129" s="15" t="n">
        <x:v>18</x:v>
      </x:c>
      <x:c r="D129" s="24" t="n">
        <x:v>0.415</x:v>
      </x:c>
      <x:c r="E129" s="18" t="n">
        <x:v>0</x:v>
      </x:c>
      <x:c r="F129" s="21" t="n">
        <x:f>ROUND(IF(ISNUMBER(D129),C129*D129,0)+E129+1E-9,2)</x:f>
        <x:v>7.47</x:v>
      </x:c>
      <x:c r="G129" s="15" t="n">
        <x:v>176</x:v>
      </x:c>
      <x:c r="H129" s="24" t="n">
        <x:v>0.2657</x:v>
      </x:c>
      <x:c r="I129" s="18" t="n">
        <x:v>0</x:v>
      </x:c>
      <x:c r="J129" s="21" t="n">
        <x:f>ROUND(IF(ISNUMBER(H129),G129*H129,0)+I129+1E-9,2)</x:f>
        <x:v>46.76</x:v>
      </x:c>
      <x:c r="K129" s="12" t="str">
        <x:v>CATALOG_PRICE</x:v>
      </x:c>
      <x:c r="L129" s="12" t="str">
        <x:v>STMicroelectronics</x:v>
      </x:c>
      <x:c r="M129" s="33" t="str">
        <x:v>D1530; D1531; D201; D204; D205; D207; D208; D209; D210; D301; D304; D305; D307; D308; D309; D310</x:v>
      </x:c>
      <x:c r="N129" s="34" t="str">
        <x:v>D_SMB</x:v>
      </x:c>
      <x:c r="O129" s="33" t="str">
        <x:v>REFERENCE_MPN_RETAINED</x:v>
      </x:c>
      <x:c r="P129" s="33" t="str">
        <x:v>https://www.digikey.com/en/products/detail/stmicroelectronics/STPS2H100UY/2612154</x:v>
      </x:c>
      <x:c r="Q129" s="33" t="str">
        <x:v>https://www.st.com/en/search.html#q=STPS2H100UY</x:v>
      </x:c>
      <x:c r="R129" s="33" t="str">
        <x:v>Existing schematic MPN retained. Complete circuit rating/temperature and package signoff is still required.</x:v>
      </x:c>
    </x:row>
    <x:row r="130" ht="42" customHeight="1">
      <x:c r="A130" s="9" t="str">
        <x:v>STPS5H100BY-TR</x:v>
      </x:c>
      <x:c r="B130" s="10" t="n">
        <x:v>2</x:v>
      </x:c>
      <x:c r="C130" s="13" t="n">
        <x:v>3</x:v>
      </x:c>
      <x:c r="D130" s="22"/>
      <x:c r="E130" s="16" t="n">
        <x:v>7.5</x:v>
      </x:c>
      <x:c r="F130" s="20" t="n">
        <x:f>ROUND(IF(ISNUMBER(D130),C130*D130,0)+E130+1E-9,2)</x:f>
        <x:v>7.5</x:v>
      </x:c>
      <x:c r="G130" s="13" t="n">
        <x:v>22</x:v>
      </x:c>
      <x:c r="H130" s="22"/>
      <x:c r="I130" s="16" t="n">
        <x:v>55</x:v>
      </x:c>
      <x:c r="J130" s="20" t="n">
        <x:f>ROUND(IF(ISNUMBER(H130),G130*H130,0)+I130+1E-9,2)</x:f>
        <x:v>55</x:v>
      </x:c>
      <x:c r="K130" s="10" t="str">
        <x:v>NO_PRICE</x:v>
      </x:c>
      <x:c r="L130" s="2" t="str">
        <x:v>STMicroelectronics</x:v>
      </x:c>
      <x:c r="M130" s="31" t="str">
        <x:v>D5200; D5610</x:v>
      </x:c>
      <x:c r="N130" s="32" t="str">
        <x:v>TO-252-2</x:v>
      </x:c>
      <x:c r="O130" s="31" t="str">
        <x:v>REFERENCE_MPN_RETAINED</x:v>
      </x:c>
      <x:c r="P130" s="31" t="str">
        <x:v>Оценочный резерв — прайс отсутствует</x:v>
      </x:c>
      <x:c r="Q130" s="31" t="str">
        <x:v>https://www.st.com/en/search.html#q=STPS5H100BY-TR</x:v>
      </x:c>
      <x:c r="R130" s="31" t="str">
        <x:v>Existing schematic MPN retained. Complete circuit rating/temperature and package signoff is still required.</x:v>
      </x:c>
    </x:row>
    <x:row r="131" ht="42" customHeight="1">
      <x:c r="A131" s="11" t="str">
        <x:v>TCAN1042HGVDRQ1</x:v>
      </x:c>
      <x:c r="B131" s="12" t="n">
        <x:v>2</x:v>
      </x:c>
      <x:c r="C131" s="15" t="n">
        <x:v>3</x:v>
      </x:c>
      <x:c r="D131" s="24" t="n">
        <x:v>2.23</x:v>
      </x:c>
      <x:c r="E131" s="18" t="n">
        <x:v>0</x:v>
      </x:c>
      <x:c r="F131" s="21" t="n">
        <x:f>ROUND(IF(ISNUMBER(D131),C131*D131,0)+E131+1E-9,2)</x:f>
        <x:v>6.69</x:v>
      </x:c>
      <x:c r="G131" s="15" t="n">
        <x:v>22</x:v>
      </x:c>
      <x:c r="H131" s="24" t="n">
        <x:v>1.653</x:v>
      </x:c>
      <x:c r="I131" s="18" t="n">
        <x:v>0</x:v>
      </x:c>
      <x:c r="J131" s="21" t="n">
        <x:f>ROUND(IF(ISNUMBER(H131),G131*H131,0)+I131+1E-9,2)</x:f>
        <x:v>36.37</x:v>
      </x:c>
      <x:c r="K131" s="12" t="str">
        <x:v>CATALOG_PRICE</x:v>
      </x:c>
      <x:c r="L131" s="12" t="str">
        <x:v>Texas Instruments</x:v>
      </x:c>
      <x:c r="M131" s="33" t="str">
        <x:v>U103; U1501</x:v>
      </x:c>
      <x:c r="N131" s="34" t="str">
        <x:v>SOIC-8_3.9x4.9mm_P1.27mm</x:v>
      </x:c>
      <x:c r="O131" s="33" t="str">
        <x:v>REFERENCE_MPN_RETAINED</x:v>
      </x:c>
      <x:c r="P131" s="33" t="str">
        <x:v>https://www.digikey.com/en/products/detail/texas-instruments/TCAN1042HGVDRQ1/5967638</x:v>
      </x:c>
      <x:c r="Q131" s="33" t="str">
        <x:v>https://www.ti.com/product/TCAN1042H-Q1/part-details/TCAN1042HGVDRQ1</x:v>
      </x:c>
      <x:c r="R131" s="33" t="str">
        <x:v>Existing schematic MPN retained. Complete circuit rating/temperature and package signoff is still required.</x:v>
      </x:c>
    </x:row>
    <x:row r="132" ht="42" customHeight="1">
      <x:c r="A132" s="9" t="str">
        <x:v>TJA1051T/3/1J</x:v>
      </x:c>
      <x:c r="B132" s="10" t="n">
        <x:v>1</x:v>
      </x:c>
      <x:c r="C132" s="13" t="n">
        <x:v>2</x:v>
      </x:c>
      <x:c r="D132" s="22"/>
      <x:c r="E132" s="16" t="n">
        <x:v>6</x:v>
      </x:c>
      <x:c r="F132" s="20" t="n">
        <x:f>ROUND(IF(ISNUMBER(D132),C132*D132,0)+E132+1E-9,2)</x:f>
        <x:v>6</x:v>
      </x:c>
      <x:c r="G132" s="13" t="n">
        <x:v>11</x:v>
      </x:c>
      <x:c r="H132" s="22"/>
      <x:c r="I132" s="16" t="n">
        <x:v>33</x:v>
      </x:c>
      <x:c r="J132" s="20" t="n">
        <x:f>ROUND(IF(ISNUMBER(H132),G132*H132,0)+I132+1E-9,2)</x:f>
        <x:v>33</x:v>
      </x:c>
      <x:c r="K132" s="10" t="str">
        <x:v>NO_PRICE</x:v>
      </x:c>
      <x:c r="L132" s="2" t="str">
        <x:v>NXP Semiconductors</x:v>
      </x:c>
      <x:c r="M132" s="31" t="str">
        <x:v>U5605</x:v>
      </x:c>
      <x:c r="N132" s="32" t="str">
        <x:v>SOIC-8_3.9x4.9mm_P1.27mm</x:v>
      </x:c>
      <x:c r="O132" s="31" t="str">
        <x:v>REFERENCE_MPN_RETAINED</x:v>
      </x:c>
      <x:c r="P132" s="31" t="str">
        <x:v>Оценочный резерв — прайс отсутствует</x:v>
      </x:c>
      <x:c r="Q132" s="31" t="str">
        <x:v>https://www.nxp.com/docs/en/data-sheet/TJA1051.pdf</x:v>
      </x:c>
      <x:c r="R132" s="31" t="str">
        <x:v>Existing schematic MPN retained. Complete circuit rating/temperature and package signoff is still required.</x:v>
      </x:c>
    </x:row>
    <x:row r="133" ht="42" customHeight="1">
      <x:c r="A133" s="11" t="str">
        <x:v>TLE9104SHXUMA1</x:v>
      </x:c>
      <x:c r="B133" s="12" t="n">
        <x:v>6</x:v>
      </x:c>
      <x:c r="C133" s="15" t="n">
        <x:v>7</x:v>
      </x:c>
      <x:c r="D133" s="24" t="n">
        <x:v>4.84</x:v>
      </x:c>
      <x:c r="E133" s="18" t="n">
        <x:v>0</x:v>
      </x:c>
      <x:c r="F133" s="21" t="n">
        <x:f>ROUND(IF(ISNUMBER(D133),C133*D133,0)+E133+1E-9,2)</x:f>
        <x:v>33.88</x:v>
      </x:c>
      <x:c r="G133" s="15" t="n">
        <x:v>66</x:v>
      </x:c>
      <x:c r="H133" s="24" t="n">
        <x:v>3.3896</x:v>
      </x:c>
      <x:c r="I133" s="18" t="n">
        <x:v>0</x:v>
      </x:c>
      <x:c r="J133" s="21" t="n">
        <x:f>ROUND(IF(ISNUMBER(H133),G133*H133,0)+I133+1E-9,2)</x:f>
        <x:v>223.71</x:v>
      </x:c>
      <x:c r="K133" s="12" t="str">
        <x:v>CATALOG_PRICE</x:v>
      </x:c>
      <x:c r="L133" s="12" t="str">
        <x:v>Infineon Technologies</x:v>
      </x:c>
      <x:c r="M133" s="33" t="str">
        <x:v>U1101; U1102; U1103; U1104; U1105; U1106</x:v>
      </x:c>
      <x:c r="N133" s="34" t="str">
        <x:v>TLE9104SH_PG-DSO-20-88</x:v>
      </x:c>
      <x:c r="O133" s="33" t="str">
        <x:v>REFERENCE_MPN_RETAINED</x:v>
      </x:c>
      <x:c r="P133" s="33" t="str">
        <x:v>https://www.digikey.com/en/products/detail/infineon-technologies/TLE9104SHXUMA1/8627206</x:v>
      </x:c>
      <x:c r="Q133" s="33" t="str">
        <x:v>https://www.infineon.com/part/TLE9104SHXUMA1</x:v>
      </x:c>
      <x:c r="R133" s="33" t="str">
        <x:v>Existing schematic MPN retained. Complete circuit rating/temperature and package signoff is still required.</x:v>
      </x:c>
    </x:row>
    <x:row r="134" ht="42" customHeight="1">
      <x:c r="A134" s="8" t="str">
        <x:v>TLE9201SGAUMA1</x:v>
      </x:c>
      <x:c r="B134" s="2" t="n">
        <x:v>2</x:v>
      </x:c>
      <x:c r="C134" s="14" t="n">
        <x:v>3</x:v>
      </x:c>
      <x:c r="D134" s="23" t="n">
        <x:v>4.19</x:v>
      </x:c>
      <x:c r="E134" s="17" t="n">
        <x:v>0</x:v>
      </x:c>
      <x:c r="F134" s="19" t="n">
        <x:f>ROUND(IF(ISNUMBER(D134),C134*D134,0)+E134+1E-9,2)</x:f>
        <x:v>12.57</x:v>
      </x:c>
      <x:c r="G134" s="14" t="n">
        <x:v>22</x:v>
      </x:c>
      <x:c r="H134" s="23" t="n">
        <x:v>3.165</x:v>
      </x:c>
      <x:c r="I134" s="17" t="n">
        <x:v>0</x:v>
      </x:c>
      <x:c r="J134" s="19" t="n">
        <x:f>ROUND(IF(ISNUMBER(H134),G134*H134,0)+I134+1E-9,2)</x:f>
        <x:v>69.63</x:v>
      </x:c>
      <x:c r="K134" s="2" t="str">
        <x:v>CATALOG_PRICE</x:v>
      </x:c>
      <x:c r="L134" s="2" t="str">
        <x:v>Infineon Technologies</x:v>
      </x:c>
      <x:c r="M134" s="31" t="str">
        <x:v>U6000; U6050</x:v>
      </x:c>
      <x:c r="N134" s="32" t="str">
        <x:v>Infineon_PG-DSO-12-11_ThermalVias</x:v>
      </x:c>
      <x:c r="O134" s="31" t="str">
        <x:v>SELECTED_CONDITIONAL</x:v>
      </x:c>
      <x:c r="P134" s="31" t="str">
        <x:v>https://www.digikey.com/en/products/detail/infineon-technologies/TLE9201SGAUMA1/5960696</x:v>
      </x:c>
      <x:c r="Q134" s="31" t="str">
        <x:v>https://www.infineon.com/part/TLE9201SG</x:v>
      </x:c>
      <x:c r="R134" s="31" t="str">
        <x:v>6A is overcurrent detection minimum/catalog bridge class, not a proven continuous ECU current rating.</x:v>
      </x:c>
    </x:row>
    <x:row r="135" ht="42" customHeight="1">
      <x:c r="A135" s="11" t="str">
        <x:v>TLIN1029ADRQ1</x:v>
      </x:c>
      <x:c r="B135" s="12" t="n">
        <x:v>2</x:v>
      </x:c>
      <x:c r="C135" s="15" t="n">
        <x:v>3</x:v>
      </x:c>
      <x:c r="D135" s="24" t="n">
        <x:v>1.18</x:v>
      </x:c>
      <x:c r="E135" s="18" t="n">
        <x:v>0</x:v>
      </x:c>
      <x:c r="F135" s="21" t="n">
        <x:f>ROUND(IF(ISNUMBER(D135),C135*D135,0)+E135+1E-9,2)</x:f>
        <x:v>3.54</x:v>
      </x:c>
      <x:c r="G135" s="15" t="n">
        <x:v>22</x:v>
      </x:c>
      <x:c r="H135" s="24" t="n">
        <x:v>0.856</x:v>
      </x:c>
      <x:c r="I135" s="18" t="n">
        <x:v>0</x:v>
      </x:c>
      <x:c r="J135" s="21" t="n">
        <x:f>ROUND(IF(ISNUMBER(H135),G135*H135,0)+I135+1E-9,2)</x:f>
        <x:v>18.83</x:v>
      </x:c>
      <x:c r="K135" s="12" t="str">
        <x:v>CATALOG_PRICE</x:v>
      </x:c>
      <x:c r="L135" s="12" t="str">
        <x:v>Texas Instruments</x:v>
      </x:c>
      <x:c r="M135" s="33" t="str">
        <x:v>U104; U1502</x:v>
      </x:c>
      <x:c r="N135" s="34" t="str">
        <x:v>SOIC-8_3.9x4.9mm_P1.27mm</x:v>
      </x:c>
      <x:c r="O135" s="33" t="str">
        <x:v>REFERENCE_MPN_RETAINED</x:v>
      </x:c>
      <x:c r="P135" s="33" t="str">
        <x:v>https://www.mouser.com/en/ProductDetail/Texas-Instruments/TLIN1029ADRQ1?qs=TuK3vfAjtkUtlJBk8HlyRQ%3D%3D</x:v>
      </x:c>
      <x:c r="Q135" s="33" t="str">
        <x:v>https://www.ti.com/product/TLIN1029A-Q1/part-details/TLIN1029ADRQ1</x:v>
      </x:c>
      <x:c r="R135" s="33" t="str">
        <x:v>Existing schematic MPN retained. Complete circuit rating/temperature and package signoff is still required.</x:v>
      </x:c>
    </x:row>
    <x:row r="136" ht="42" customHeight="1">
      <x:c r="A136" s="8" t="str">
        <x:v>TLV9004QPWRQ1</x:v>
      </x:c>
      <x:c r="B136" s="2" t="n">
        <x:v>5</x:v>
      </x:c>
      <x:c r="C136" s="14" t="n">
        <x:v>6</x:v>
      </x:c>
      <x:c r="D136" s="23" t="n">
        <x:v>1.19</x:v>
      </x:c>
      <x:c r="E136" s="17" t="n">
        <x:v>0</x:v>
      </x:c>
      <x:c r="F136" s="19" t="n">
        <x:f>ROUND(IF(ISNUMBER(D136),C136*D136,0)+E136+1E-9,2)</x:f>
        <x:v>7.14</x:v>
      </x:c>
      <x:c r="G136" s="14" t="n">
        <x:v>55</x:v>
      </x:c>
      <x:c r="H136" s="23" t="n">
        <x:v>0.7772</x:v>
      </x:c>
      <x:c r="I136" s="17" t="n">
        <x:v>0</x:v>
      </x:c>
      <x:c r="J136" s="19" t="n">
        <x:f>ROUND(IF(ISNUMBER(H136),G136*H136,0)+I136+1E-9,2)</x:f>
        <x:v>42.75</x:v>
      </x:c>
      <x:c r="K136" s="2" t="str">
        <x:v>CATALOG_PRICE</x:v>
      </x:c>
      <x:c r="L136" s="2" t="str">
        <x:v>Texas Instruments</x:v>
      </x:c>
      <x:c r="M136" s="31" t="str">
        <x:v>U701; U702; U703; U704; U705</x:v>
      </x:c>
      <x:c r="N136" s="32" t="str">
        <x:v>TSSOP-14_4.4x5mm_P0.65mm</x:v>
      </x:c>
      <x:c r="O136" s="31" t="str">
        <x:v>REFERENCE_MPN_RETAINED</x:v>
      </x:c>
      <x:c r="P136" s="31" t="str">
        <x:v>https://www.digikey.com/en/products/detail/texas-instruments/TLV9004QPWRQ1/15781491</x:v>
      </x:c>
      <x:c r="Q136" s="31" t="str">
        <x:v>https://www.ti.com/product/TLV9004-Q1/part-details/TLV9004QPWRQ1</x:v>
      </x:c>
      <x:c r="R136" s="31" t="str">
        <x:v>Existing schematic MPN retained. Complete circuit rating/temperature and package signoff is still required.</x:v>
      </x:c>
    </x:row>
    <x:row r="137" ht="42" customHeight="1">
      <x:c r="A137" s="11" t="str">
        <x:v>TNPW0603102KBEEA</x:v>
      </x:c>
      <x:c r="B137" s="12" t="n">
        <x:v>1</x:v>
      </x:c>
      <x:c r="C137" s="15" t="n">
        <x:v>21</x:v>
      </x:c>
      <x:c r="D137" s="24" t="n">
        <x:v>0.219</x:v>
      </x:c>
      <x:c r="E137" s="18" t="n">
        <x:v>0</x:v>
      </x:c>
      <x:c r="F137" s="21" t="n">
        <x:f>ROUND(IF(ISNUMBER(D137),C137*D137,0)+E137+1E-9,2)</x:f>
        <x:v>4.6</x:v>
      </x:c>
      <x:c r="G137" s="15" t="n">
        <x:v>30</x:v>
      </x:c>
      <x:c r="H137" s="24" t="n">
        <x:v>0.2032</x:v>
      </x:c>
      <x:c r="I137" s="18" t="n">
        <x:v>0</x:v>
      </x:c>
      <x:c r="J137" s="21" t="n">
        <x:f>ROUND(IF(ISNUMBER(H137),G137*H137,0)+I137+1E-9,2)</x:f>
        <x:v>6.1</x:v>
      </x:c>
      <x:c r="K137" s="12" t="str">
        <x:v>CATALOG_PRICE</x:v>
      </x:c>
      <x:c r="L137" s="12" t="str">
        <x:v>Vishay</x:v>
      </x:c>
      <x:c r="M137" s="33" t="str">
        <x:v>R807</x:v>
      </x:c>
      <x:c r="N137" s="34" t="str">
        <x:v>0603</x:v>
      </x:c>
      <x:c r="O137" s="33" t="str">
        <x:v>SELECTED_CATALOG_ITEM</x:v>
      </x:c>
      <x:c r="P137" s="33" t="str">
        <x:v>https://www.digikey.com/en/products/detail/vishay-dale/TNPW0603102KBEEA/1606996</x:v>
      </x:c>
      <x:c r="Q137" s="33" t="str">
        <x:v>https://www.digikey.com/en/products/detail/vishay-dale/TNPW0603102KBEEA/1606996; https://www.vishay.com/docs/28758/tnpw_e3.pdf</x:v>
      </x:c>
      <x:c r="R137" s="33" t="str"/>
    </x:row>
    <x:row r="138" ht="42" customHeight="1">
      <x:c r="A138" s="8" t="str">
        <x:v>TNPW0603147KBEEA</x:v>
      </x:c>
      <x:c r="B138" s="2" t="n">
        <x:v>6</x:v>
      </x:c>
      <x:c r="C138" s="14" t="n">
        <x:v>26</x:v>
      </x:c>
      <x:c r="D138" s="23" t="n">
        <x:v>0.219</x:v>
      </x:c>
      <x:c r="E138" s="17" t="n">
        <x:v>0</x:v>
      </x:c>
      <x:c r="F138" s="19" t="n">
        <x:f>ROUND(IF(ISNUMBER(D138),C138*D138,0)+E138+1E-9,2)</x:f>
        <x:v>5.69</x:v>
      </x:c>
      <x:c r="G138" s="14" t="n">
        <x:v>80</x:v>
      </x:c>
      <x:c r="H138" s="23" t="n">
        <x:v>0.1918</x:v>
      </x:c>
      <x:c r="I138" s="17" t="n">
        <x:v>0</x:v>
      </x:c>
      <x:c r="J138" s="19" t="n">
        <x:f>ROUND(IF(ISNUMBER(H138),G138*H138,0)+I138+1E-9,2)</x:f>
        <x:v>15.34</x:v>
      </x:c>
      <x:c r="K138" s="2" t="str">
        <x:v>CATALOG_PRICE</x:v>
      </x:c>
      <x:c r="L138" s="2" t="str">
        <x:v>Vishay</x:v>
      </x:c>
      <x:c r="M138" s="31" t="str">
        <x:v>R5421; R5441; R5461; R5481; R5501; R5521</x:v>
      </x:c>
      <x:c r="N138" s="32" t="str">
        <x:v>0603</x:v>
      </x:c>
      <x:c r="O138" s="31" t="str">
        <x:v>SELECTED_CATALOG_ITEM</x:v>
      </x:c>
      <x:c r="P138" s="31" t="str">
        <x:v>https://www.digikey.com/en/products/detail/vishay-dale/TNPW0603147KBEEA/1607012</x:v>
      </x:c>
      <x:c r="Q138" s="31" t="str">
        <x:v>https://www.digikey.com/en/products/detail/vishay-dale/TNPW0603147KBEEA/1607012; https://www.vishay.com/docs/28758/tnpw_e3.pdf</x:v>
      </x:c>
      <x:c r="R138" s="31" t="str"/>
    </x:row>
    <x:row r="139" ht="42" customHeight="1">
      <x:c r="A139" s="9" t="str">
        <x:v>TNPW06039K76BEEA</x:v>
      </x:c>
      <x:c r="B139" s="10" t="n">
        <x:v>1</x:v>
      </x:c>
      <x:c r="C139" s="13" t="n">
        <x:v>21</x:v>
      </x:c>
      <x:c r="D139" s="22"/>
      <x:c r="E139" s="16" t="n">
        <x:v>5.25</x:v>
      </x:c>
      <x:c r="F139" s="20" t="n">
        <x:f>ROUND(IF(ISNUMBER(D139),C139*D139,0)+E139+1E-9,2)</x:f>
        <x:v>5.25</x:v>
      </x:c>
      <x:c r="G139" s="13" t="n">
        <x:v>30</x:v>
      </x:c>
      <x:c r="H139" s="22"/>
      <x:c r="I139" s="16" t="n">
        <x:v>7.5</x:v>
      </x:c>
      <x:c r="J139" s="20" t="n">
        <x:f>ROUND(IF(ISNUMBER(H139),G139*H139,0)+I139+1E-9,2)</x:f>
        <x:v>7.5</x:v>
      </x:c>
      <x:c r="K139" s="10" t="str">
        <x:v>NO_PRICE</x:v>
      </x:c>
      <x:c r="L139" s="12" t="str">
        <x:v>Vishay</x:v>
      </x:c>
      <x:c r="M139" s="33" t="str">
        <x:v>R808</x:v>
      </x:c>
      <x:c r="N139" s="34" t="str">
        <x:v>0603</x:v>
      </x:c>
      <x:c r="O139" s="33" t="str">
        <x:v>SELECTED_CATALOG_ITEM</x:v>
      </x:c>
      <x:c r="P139" s="33" t="str">
        <x:v>Оценочный резерв — прайс отсутствует</x:v>
      </x:c>
      <x:c r="Q139" s="33" t="str">
        <x:v>https://www.digikey.com/en/products/detail/vishay-dale/TNPW06039K76BEEA/1606880; https://www.vishay.com/docs/28758/tnpw_e3.pdf</x:v>
      </x:c>
      <x:c r="R139" s="33" t="str"/>
    </x:row>
    <x:row r="140" ht="42" customHeight="1">
      <x:c r="A140" s="8" t="str">
        <x:v>TPIC8101DWR</x:v>
      </x:c>
      <x:c r="B140" s="2" t="n">
        <x:v>1</x:v>
      </x:c>
      <x:c r="C140" s="14" t="n">
        <x:v>2</x:v>
      </x:c>
      <x:c r="D140" s="23" t="n">
        <x:v>5.51</x:v>
      </x:c>
      <x:c r="E140" s="17" t="n">
        <x:v>0</x:v>
      </x:c>
      <x:c r="F140" s="19" t="n">
        <x:f>ROUND(IF(ISNUMBER(D140),C140*D140,0)+E140+1E-9,2)</x:f>
        <x:v>11.02</x:v>
      </x:c>
      <x:c r="G140" s="14" t="n">
        <x:v>11</x:v>
      </x:c>
      <x:c r="H140" s="23" t="n">
        <x:v>4.21</x:v>
      </x:c>
      <x:c r="I140" s="17" t="n">
        <x:v>0</x:v>
      </x:c>
      <x:c r="J140" s="19" t="n">
        <x:f>ROUND(IF(ISNUMBER(H140),G140*H140,0)+I140+1E-9,2)</x:f>
        <x:v>46.31</x:v>
      </x:c>
      <x:c r="K140" s="2" t="str">
        <x:v>CATALOG_PRICE</x:v>
      </x:c>
      <x:c r="L140" s="2" t="str">
        <x:v>Texas Instruments</x:v>
      </x:c>
      <x:c r="M140" s="31" t="str">
        <x:v>U1701</x:v>
      </x:c>
      <x:c r="N140" s="32" t="str">
        <x:v>SOIC-20W_7.5x12.8mm_P1.27mm</x:v>
      </x:c>
      <x:c r="O140" s="31" t="str">
        <x:v>SELECTED_CONDITIONAL</x:v>
      </x:c>
      <x:c r="P140" s="31" t="str">
        <x:v>https://www.digikey.com/en/products/detail/texas-instruments/TPIC8101DWR/565628</x:v>
      </x:c>
      <x:c r="Q140" s="31" t="str">
        <x:v>https://www.ti.com/product/TPIC8101</x:v>
      </x:c>
      <x:c r="R140" s="31" t="str">
        <x:v>Catalog family limits verified; exact order suffix and circuit stress/thermal margin remain board qualification.</x:v>
      </x:c>
    </x:row>
    <x:row r="141" ht="42" customHeight="1">
      <x:c r="A141" s="11" t="str">
        <x:v>TPS3431SQDRBRQ1</x:v>
      </x:c>
      <x:c r="B141" s="12" t="n">
        <x:v>1</x:v>
      </x:c>
      <x:c r="C141" s="15" t="n">
        <x:v>2</x:v>
      </x:c>
      <x:c r="D141" s="24" t="n">
        <x:v>2.41</x:v>
      </x:c>
      <x:c r="E141" s="18" t="n">
        <x:v>0</x:v>
      </x:c>
      <x:c r="F141" s="21" t="n">
        <x:f>ROUND(IF(ISNUMBER(D141),C141*D141,0)+E141+1E-9,2)</x:f>
        <x:v>4.82</x:v>
      </x:c>
      <x:c r="G141" s="15" t="n">
        <x:v>11</x:v>
      </x:c>
      <x:c r="H141" s="24" t="n">
        <x:v>1.787</x:v>
      </x:c>
      <x:c r="I141" s="18" t="n">
        <x:v>0</x:v>
      </x:c>
      <x:c r="J141" s="21" t="n">
        <x:f>ROUND(IF(ISNUMBER(H141),G141*H141,0)+I141+1E-9,2)</x:f>
        <x:v>19.66</x:v>
      </x:c>
      <x:c r="K141" s="12" t="str">
        <x:v>CATALOG_PRICE</x:v>
      </x:c>
      <x:c r="L141" s="12" t="str">
        <x:v>Texas Instruments</x:v>
      </x:c>
      <x:c r="M141" s="33" t="str">
        <x:v>U801</x:v>
      </x:c>
      <x:c r="N141" s="34" t="str">
        <x:v>VSON-8-1EP_3x3mm_P0.65mm_EP1.6x2.4mm</x:v>
      </x:c>
      <x:c r="O141" s="33" t="str">
        <x:v>REFERENCE_MPN_RETAINED</x:v>
      </x:c>
      <x:c r="P141" s="33" t="str">
        <x:v>https://www.digikey.com/en/products/detail/texas-instruments/TPS3431SQDRBRQ1/9597848</x:v>
      </x:c>
      <x:c r="Q141" s="33" t="str">
        <x:v>https://www.ti.com/product/TPS3431-Q1/part-details/TPS3431SQDRBRQ1</x:v>
      </x:c>
      <x:c r="R141" s="33" t="str">
        <x:v>Existing schematic MPN retained. Complete circuit rating/temperature and package signoff is still required.</x:v>
      </x:c>
    </x:row>
    <x:row r="142" ht="42" customHeight="1">
      <x:c r="A142" s="8" t="str">
        <x:v>TPS3808G01QDBVRQ1</x:v>
      </x:c>
      <x:c r="B142" s="2" t="n">
        <x:v>1</x:v>
      </x:c>
      <x:c r="C142" s="14" t="n">
        <x:v>2</x:v>
      </x:c>
      <x:c r="D142" s="23" t="n">
        <x:v>2.33</x:v>
      </x:c>
      <x:c r="E142" s="17" t="n">
        <x:v>0</x:v>
      </x:c>
      <x:c r="F142" s="19" t="n">
        <x:f>ROUND(IF(ISNUMBER(D142),C142*D142,0)+E142+1E-9,2)</x:f>
        <x:v>4.66</x:v>
      </x:c>
      <x:c r="G142" s="14" t="n">
        <x:v>11</x:v>
      </x:c>
      <x:c r="H142" s="23" t="n">
        <x:v>1.727</x:v>
      </x:c>
      <x:c r="I142" s="17" t="n">
        <x:v>0</x:v>
      </x:c>
      <x:c r="J142" s="19" t="n">
        <x:f>ROUND(IF(ISNUMBER(H142),G142*H142,0)+I142+1E-9,2)</x:f>
        <x:v>19</x:v>
      </x:c>
      <x:c r="K142" s="2" t="str">
        <x:v>CATALOG_PRICE</x:v>
      </x:c>
      <x:c r="L142" s="2" t="str">
        <x:v>Texas Instruments</x:v>
      </x:c>
      <x:c r="M142" s="31" t="str">
        <x:v>U806</x:v>
      </x:c>
      <x:c r="N142" s="32" t="str">
        <x:v>SOT-23-6</x:v>
      </x:c>
      <x:c r="O142" s="31" t="str">
        <x:v>REFERENCE_MPN_RETAINED</x:v>
      </x:c>
      <x:c r="P142" s="31" t="str">
        <x:v>https://www.digikey.com/en/products/detail/texas-instruments/TPS3808G01QDBVRQ1/2092597</x:v>
      </x:c>
      <x:c r="Q142" s="31" t="str">
        <x:v>https://www.ti.com/product/TPS3808-Q1/part-details/TPS3808G01QDBVRQ1</x:v>
      </x:c>
      <x:c r="R142" s="31" t="str">
        <x:v>Existing schematic MPN retained. Complete circuit rating/temperature and package signoff is still required.</x:v>
      </x:c>
    </x:row>
    <x:row r="143" ht="42" customHeight="1">
      <x:c r="A143" s="11" t="str">
        <x:v>TPS3808G33QDBVRQ1</x:v>
      </x:c>
      <x:c r="B143" s="12" t="n">
        <x:v>2</x:v>
      </x:c>
      <x:c r="C143" s="15" t="n">
        <x:v>3</x:v>
      </x:c>
      <x:c r="D143" s="24" t="n">
        <x:v>2.33</x:v>
      </x:c>
      <x:c r="E143" s="18" t="n">
        <x:v>0</x:v>
      </x:c>
      <x:c r="F143" s="21" t="n">
        <x:f>ROUND(IF(ISNUMBER(D143),C143*D143,0)+E143+1E-9,2)</x:f>
        <x:v>6.99</x:v>
      </x:c>
      <x:c r="G143" s="15" t="n">
        <x:v>22</x:v>
      </x:c>
      <x:c r="H143" s="24" t="n">
        <x:v>1.727</x:v>
      </x:c>
      <x:c r="I143" s="18" t="n">
        <x:v>0</x:v>
      </x:c>
      <x:c r="J143" s="21" t="n">
        <x:f>ROUND(IF(ISNUMBER(H143),G143*H143,0)+I143+1E-9,2)</x:f>
        <x:v>37.99</x:v>
      </x:c>
      <x:c r="K143" s="12" t="str">
        <x:v>CATALOG_PRICE</x:v>
      </x:c>
      <x:c r="L143" s="12" t="str">
        <x:v>Texas Instruments</x:v>
      </x:c>
      <x:c r="M143" s="33" t="str">
        <x:v>U5612; U802</x:v>
      </x:c>
      <x:c r="N143" s="34" t="str">
        <x:v>SOT-23-6</x:v>
      </x:c>
      <x:c r="O143" s="33" t="str">
        <x:v>REFERENCE_MPN_RETAINED</x:v>
      </x:c>
      <x:c r="P143" s="33" t="str">
        <x:v>https://www.digikey.com/en/products/detail/texas-instruments/TPS3808G33QDBVRQ1/1698958</x:v>
      </x:c>
      <x:c r="Q143" s="33" t="str">
        <x:v>https://www.ti.com/product/TPS3808-Q1/part-details/TPS3808G33QDBVRQ1</x:v>
      </x:c>
      <x:c r="R143" s="33" t="str">
        <x:v>Existing schematic MPN retained. Complete circuit rating/temperature and package signoff is still required.</x:v>
      </x:c>
    </x:row>
    <x:row r="144" ht="42" customHeight="1">
      <x:c r="A144" s="8" t="str">
        <x:v>TPS62130AQRGTRQ1</x:v>
      </x:c>
      <x:c r="B144" s="2" t="n">
        <x:v>1</x:v>
      </x:c>
      <x:c r="C144" s="14" t="n">
        <x:v>2</x:v>
      </x:c>
      <x:c r="D144" s="23" t="n">
        <x:v>2.94</x:v>
      </x:c>
      <x:c r="E144" s="17" t="n">
        <x:v>0</x:v>
      </x:c>
      <x:c r="F144" s="19" t="n">
        <x:f>ROUND(IF(ISNUMBER(D144),C144*D144,0)+E144+1E-9,2)</x:f>
        <x:v>5.88</x:v>
      </x:c>
      <x:c r="G144" s="14" t="n">
        <x:v>11</x:v>
      </x:c>
      <x:c r="H144" s="23" t="n">
        <x:v>2.2</x:v>
      </x:c>
      <x:c r="I144" s="17" t="n">
        <x:v>0</x:v>
      </x:c>
      <x:c r="J144" s="19" t="n">
        <x:f>ROUND(IF(ISNUMBER(H144),G144*H144,0)+I144+1E-9,2)</x:f>
        <x:v>24.2</x:v>
      </x:c>
      <x:c r="K144" s="2" t="str">
        <x:v>CATALOG_PRICE</x:v>
      </x:c>
      <x:c r="L144" s="2" t="str">
        <x:v>Texas Instruments</x:v>
      </x:c>
      <x:c r="M144" s="31" t="str">
        <x:v>U5300</x:v>
      </x:c>
      <x:c r="N144" s="32" t="str">
        <x:v>VQFN-16-1EP_3x3mm_P0.5mm_EP1.68x1.68mm</x:v>
      </x:c>
      <x:c r="O144" s="31" t="str">
        <x:v>SELECTED_CONDITIONAL</x:v>
      </x:c>
      <x:c r="P144" s="31" t="str">
        <x:v>https://www.digikey.com/en/products/detail/texas-instruments/TPS62130AQRGTRQ1/4876431</x:v>
      </x:c>
      <x:c r="Q144" s="31" t="str">
        <x:v>https://www.ti.com/product/TPS62130A-Q1</x:v>
      </x:c>
      <x:c r="R144" s="31" t="str">
        <x:v>Catalog family limits verified; exact order suffix and circuit stress/thermal margin remain board qualification.</x:v>
      </x:c>
    </x:row>
    <x:row r="145" ht="42" customHeight="1">
      <x:c r="A145" s="11" t="str">
        <x:v>TPS7B4253QDDARQ1</x:v>
      </x:c>
      <x:c r="B145" s="12" t="n">
        <x:v>2</x:v>
      </x:c>
      <x:c r="C145" s="15" t="n">
        <x:v>3</x:v>
      </x:c>
      <x:c r="D145" s="24" t="n">
        <x:v>3.19</x:v>
      </x:c>
      <x:c r="E145" s="18" t="n">
        <x:v>0</x:v>
      </x:c>
      <x:c r="F145" s="21" t="n">
        <x:f>ROUND(IF(ISNUMBER(D145),C145*D145,0)+E145+1E-9,2)</x:f>
        <x:v>9.57</x:v>
      </x:c>
      <x:c r="G145" s="15" t="n">
        <x:v>22</x:v>
      </x:c>
      <x:c r="H145" s="24" t="n">
        <x:v>2.386</x:v>
      </x:c>
      <x:c r="I145" s="18" t="n">
        <x:v>0</x:v>
      </x:c>
      <x:c r="J145" s="21" t="n">
        <x:f>ROUND(IF(ISNUMBER(H145),G145*H145,0)+I145+1E-9,2)</x:f>
        <x:v>52.49</x:v>
      </x:c>
      <x:c r="K145" s="12" t="str">
        <x:v>CATALOG_PRICE</x:v>
      </x:c>
      <x:c r="L145" s="12" t="str">
        <x:v>Texas Instruments</x:v>
      </x:c>
      <x:c r="M145" s="33" t="str">
        <x:v>U1530; U1531</x:v>
      </x:c>
      <x:c r="N145" s="34" t="str">
        <x:v>TPS7B4253_DDA0008J_C02</x:v>
      </x:c>
      <x:c r="O145" s="33" t="str">
        <x:v>REFERENCE_MPN_RETAINED</x:v>
      </x:c>
      <x:c r="P145" s="33" t="str">
        <x:v>https://www.digikey.com/en/products/detail/texas-instruments/TPS7B4253QDDARQ1/5866666</x:v>
      </x:c>
      <x:c r="Q145" s="33" t="str">
        <x:v>https://www.ti.com/product/TPS7B4253-Q1/part-details/TPS7B4253QDDARQ1</x:v>
      </x:c>
      <x:c r="R145" s="33" t="str">
        <x:v>Existing schematic MPN retained. Complete circuit rating/temperature and package signoff is still required.</x:v>
      </x:c>
    </x:row>
    <x:row r="146" ht="42" customHeight="1">
      <x:c r="A146" s="9" t="str">
        <x:v>UBY1H132MHL6</x:v>
      </x:c>
      <x:c r="B146" s="10" t="n">
        <x:v>4</x:v>
      </x:c>
      <x:c r="C146" s="13" t="n">
        <x:v>5</x:v>
      </x:c>
      <x:c r="D146" s="22"/>
      <x:c r="E146" s="16" t="n">
        <x:v>10</x:v>
      </x:c>
      <x:c r="F146" s="20" t="n">
        <x:f>ROUND(IF(ISNUMBER(D146),C146*D146,0)+E146+1E-9,2)</x:f>
        <x:v>10</x:v>
      </x:c>
      <x:c r="G146" s="13" t="n">
        <x:v>42</x:v>
      </x:c>
      <x:c r="H146" s="22"/>
      <x:c r="I146" s="16" t="n">
        <x:v>84</x:v>
      </x:c>
      <x:c r="J146" s="20" t="n">
        <x:f>ROUND(IF(ISNUMBER(H146),G146*H146,0)+I146+1E-9,2)</x:f>
        <x:v>84</x:v>
      </x:c>
      <x:c r="K146" s="10" t="str">
        <x:v>NO_PRICE</x:v>
      </x:c>
      <x:c r="L146" s="2" t="str">
        <x:v>Nichicon</x:v>
      </x:c>
      <x:c r="M146" s="31" t="str">
        <x:v>C205; C206; C305; C306</x:v>
      </x:c>
      <x:c r="N146" s="32" t="str">
        <x:v>Radial_D16_H25_P7.5</x:v>
      </x:c>
      <x:c r="O146" s="31" t="str">
        <x:v>SELECTED_CONDITIONAL</x:v>
      </x:c>
      <x:c r="P146" s="31" t="str">
        <x:v>Оценочный резерв — прайс отсутствует</x:v>
      </x:c>
      <x:c r="Q146" s="31" t="str">
        <x:v>https://www.nichicon.com/getmedia/640b351d-ceef-400c-b016-39f8657ea779/e-uby-DB.pdf</x:v>
      </x:c>
      <x:c r="R146" s="31" t="str">
        <x:v>1300uF replaces1200uF input bulk; +8.3% capacitance/inrush requires recheck. This is not the65V boost capacitor.</x:v>
      </x:c>
    </x:row>
    <x:row r="147" ht="42" customHeight="1">
      <x:c r="A147" s="9" t="str">
        <x:v>UBY1K471MHL</x:v>
      </x:c>
      <x:c r="B147" s="10" t="n">
        <x:v>4</x:v>
      </x:c>
      <x:c r="C147" s="13" t="n">
        <x:v>5</x:v>
      </x:c>
      <x:c r="D147" s="22"/>
      <x:c r="E147" s="16" t="n">
        <x:v>10</x:v>
      </x:c>
      <x:c r="F147" s="20" t="n">
        <x:f>ROUND(IF(ISNUMBER(D147),C147*D147,0)+E147+1E-9,2)</x:f>
        <x:v>10</x:v>
      </x:c>
      <x:c r="G147" s="13" t="n">
        <x:v>42</x:v>
      </x:c>
      <x:c r="H147" s="22"/>
      <x:c r="I147" s="16" t="n">
        <x:v>84</x:v>
      </x:c>
      <x:c r="J147" s="20" t="n">
        <x:f>ROUND(IF(ISNUMBER(H147),G147*H147,0)+I147+1E-9,2)</x:f>
        <x:v>84</x:v>
      </x:c>
      <x:c r="K147" s="10" t="str">
        <x:v>NO_PRICE</x:v>
      </x:c>
      <x:c r="L147" s="12" t="str">
        <x:v>Nichicon</x:v>
      </x:c>
      <x:c r="M147" s="33" t="str">
        <x:v>C207; C209; C307; C309</x:v>
      </x:c>
      <x:c r="N147" s="34" t="str">
        <x:v>Radial_D16_H20_P7.5</x:v>
      </x:c>
      <x:c r="O147" s="33" t="str">
        <x:v>SELECTED_CONDITIONAL</x:v>
      </x:c>
      <x:c r="P147" s="33" t="str">
        <x:v>Оценочный резерв — прайс отсутствует</x:v>
      </x:c>
      <x:c r="Q147" s="33" t="str">
        <x:v>https://www.lcsc.com/product-detail/C5110766.html; https://www.nichicon.com/getmedia/640b351d-ceef-400c-b016-39f8657ea779/e-uby-DB.pdf</x:v>
      </x:c>
      <x:c r="R147" s="33" t="str">
        <x:v>80V rating on nominal65V boost requires measured overshoot and ripple/temperature qualification. Fits source16x25 envelope with shorter20mm body.</x:v>
      </x:c>
    </x:row>
    <x:row r="148" ht="42" customHeight="1">
      <x:c r="A148" s="8" t="str">
        <x:v>UCC27524AQDRQ1</x:v>
      </x:c>
      <x:c r="B148" s="2" t="n">
        <x:v>3</x:v>
      </x:c>
      <x:c r="C148" s="14" t="n">
        <x:v>4</x:v>
      </x:c>
      <x:c r="D148" s="23" t="n">
        <x:v>2.06</x:v>
      </x:c>
      <x:c r="E148" s="17" t="n">
        <x:v>0</x:v>
      </x:c>
      <x:c r="F148" s="19" t="n">
        <x:f>ROUND(IF(ISNUMBER(D148),C148*D148,0)+E148+1E-9,2)</x:f>
        <x:v>8.24</x:v>
      </x:c>
      <x:c r="G148" s="14" t="n">
        <x:v>33</x:v>
      </x:c>
      <x:c r="H148" s="23" t="n">
        <x:v>1.382</x:v>
      </x:c>
      <x:c r="I148" s="17" t="n">
        <x:v>0</x:v>
      </x:c>
      <x:c r="J148" s="19" t="n">
        <x:f>ROUND(IF(ISNUMBER(H148),G148*H148,0)+I148+1E-9,2)</x:f>
        <x:v>45.61</x:v>
      </x:c>
      <x:c r="K148" s="2" t="str">
        <x:v>CATALOG_PRICE</x:v>
      </x:c>
      <x:c r="L148" s="2" t="str">
        <x:v>Texas Instruments</x:v>
      </x:c>
      <x:c r="M148" s="31" t="str">
        <x:v>U5402; U5403; U5404</x:v>
      </x:c>
      <x:c r="N148" s="32" t="str">
        <x:v>SOIC-8_3.9x4.9mm_P1.27mm</x:v>
      </x:c>
      <x:c r="O148" s="31" t="str">
        <x:v>REFERENCE_MPN_RETAINED</x:v>
      </x:c>
      <x:c r="P148" s="31" t="str">
        <x:v>https://www.digikey.com/en/products/detail/texas-instruments/UCC27524AQDRQ1/4692381</x:v>
      </x:c>
      <x:c r="Q148" s="31" t="str">
        <x:v>https://www.ti.com/product/UCC27524A-Q1/part-details/UCC27524AQDRQ1</x:v>
      </x:c>
      <x:c r="R148" s="31" t="str">
        <x:v>Existing schematic MPN retained. Complete circuit rating/temperature and package signoff is still required.</x:v>
      </x:c>
    </x:row>
    <x:row r="149" ht="42" customHeight="1">
      <x:c r="A149" s="9" t="str">
        <x:v>USBLC6-2SC6</x:v>
      </x:c>
      <x:c r="B149" s="10" t="n">
        <x:v>3</x:v>
      </x:c>
      <x:c r="C149" s="13" t="n">
        <x:v>4</x:v>
      </x:c>
      <x:c r="D149" s="22"/>
      <x:c r="E149" s="16" t="n">
        <x:v>1.2</x:v>
      </x:c>
      <x:c r="F149" s="20" t="n">
        <x:f>ROUND(IF(ISNUMBER(D149),C149*D149,0)+E149+1E-9,2)</x:f>
        <x:v>1.2</x:v>
      </x:c>
      <x:c r="G149" s="13" t="n">
        <x:v>33</x:v>
      </x:c>
      <x:c r="H149" s="22"/>
      <x:c r="I149" s="16" t="n">
        <x:v>9.9</x:v>
      </x:c>
      <x:c r="J149" s="20" t="n">
        <x:f>ROUND(IF(ISNUMBER(H149),G149*H149,0)+I149+1E-9,2)</x:f>
        <x:v>9.9</x:v>
      </x:c>
      <x:c r="K149" s="10" t="str">
        <x:v>NO_PRICE</x:v>
      </x:c>
      <x:c r="L149" s="12" t="str">
        <x:v>STMicroelectronics</x:v>
      </x:c>
      <x:c r="M149" s="33" t="str">
        <x:v>D1510; D1520; D1521</x:v>
      </x:c>
      <x:c r="N149" s="34" t="str">
        <x:v>SOT-23-6</x:v>
      </x:c>
      <x:c r="O149" s="33" t="str">
        <x:v>REFERENCE_MPN_RETAINED</x:v>
      </x:c>
      <x:c r="P149" s="33" t="str">
        <x:v>Оценочный резерв — прайс отсутствует</x:v>
      </x:c>
      <x:c r="Q149" s="33" t="str">
        <x:v>https://www.st.com/en/search.html#q=USBLC6-2SC6</x:v>
      </x:c>
      <x:c r="R149" s="33" t="str">
        <x:v>Existing schematic MPN retained. Complete circuit rating/temperature and package signoff is still required.</x:v>
      </x:c>
    </x:row>
    <x:row r="150" ht="42" customHeight="1">
      <x:c r="A150" s="9" t="str">
        <x:v>VND7NV04TR-E</x:v>
      </x:c>
      <x:c r="B150" s="10" t="n">
        <x:v>1</x:v>
      </x:c>
      <x:c r="C150" s="13" t="n">
        <x:v>2</x:v>
      </x:c>
      <x:c r="D150" s="22"/>
      <x:c r="E150" s="16" t="n">
        <x:v>3</x:v>
      </x:c>
      <x:c r="F150" s="20" t="n">
        <x:f>ROUND(IF(ISNUMBER(D150),C150*D150,0)+E150+1E-9,2)</x:f>
        <x:v>3</x:v>
      </x:c>
      <x:c r="G150" s="13" t="n">
        <x:v>11</x:v>
      </x:c>
      <x:c r="H150" s="22"/>
      <x:c r="I150" s="16" t="n">
        <x:v>16.5</x:v>
      </x:c>
      <x:c r="J150" s="20" t="n">
        <x:f>ROUND(IF(ISNUMBER(H150),G150*H150,0)+I150+1E-9,2)</x:f>
        <x:v>16.5</x:v>
      </x:c>
      <x:c r="K150" s="10" t="str">
        <x:v>NO_PRICE</x:v>
      </x:c>
      <x:c r="L150" s="2" t="str">
        <x:v>STMicroelectronics</x:v>
      </x:c>
      <x:c r="M150" s="31" t="str">
        <x:v>Q5600</x:v>
      </x:c>
      <x:c r="N150" s="32" t="str">
        <x:v>TO-252-2</x:v>
      </x:c>
      <x:c r="O150" s="31" t="str">
        <x:v>REFERENCE_MPN_RETAINED</x:v>
      </x:c>
      <x:c r="P150" s="31" t="str">
        <x:v>Оценочный резерв — прайс отсутствует</x:v>
      </x:c>
      <x:c r="Q150" s="31" t="str">
        <x:v>https://www.st.com/en/search.html#q=VND7NV04TR-E</x:v>
      </x:c>
      <x:c r="R150" s="31" t="str">
        <x:v>Existing schematic MPN retained. Complete circuit rating/temperature and package signoff is still required.</x:v>
      </x:c>
    </x:row>
    <x:row r="151" ht="42" customHeight="1">
      <x:c r="A151" s="11" t="str">
        <x:v>WSLP1206R0100FEA</x:v>
      </x:c>
      <x:c r="B151" s="12" t="n">
        <x:v>10</x:v>
      </x:c>
      <x:c r="C151" s="15" t="n">
        <x:v>11</x:v>
      </x:c>
      <x:c r="D151" s="24" t="n">
        <x:v>0.376</x:v>
      </x:c>
      <x:c r="E151" s="18" t="n">
        <x:v>0</x:v>
      </x:c>
      <x:c r="F151" s="21" t="n">
        <x:f>ROUND(IF(ISNUMBER(D151),C151*D151,0)+E151+1E-9,2)</x:f>
        <x:v>4.14</x:v>
      </x:c>
      <x:c r="G151" s="15" t="n">
        <x:v>110</x:v>
      </x:c>
      <x:c r="H151" s="24" t="n">
        <x:v>0.2956</x:v>
      </x:c>
      <x:c r="I151" s="18" t="n">
        <x:v>0</x:v>
      </x:c>
      <x:c r="J151" s="21" t="n">
        <x:f>ROUND(IF(ISNUMBER(H151),G151*H151,0)+I151+1E-9,2)</x:f>
        <x:v>32.52</x:v>
      </x:c>
      <x:c r="K151" s="12" t="str">
        <x:v>CATALOG_PRICE</x:v>
      </x:c>
      <x:c r="L151" s="12" t="str">
        <x:v>Vishay</x:v>
      </x:c>
      <x:c r="M151" s="33" t="str">
        <x:v>R203; R212; R213; R215; R221; R303; R312; R313; R315; R321</x:v>
      </x:c>
      <x:c r="N151" s="34" t="str">
        <x:v>1206</x:v>
      </x:c>
      <x:c r="O151" s="33" t="str">
        <x:v>SELECTED_CONDITIONAL</x:v>
      </x:c>
      <x:c r="P151" s="33" t="str">
        <x:v>https://www.lcsc.com/product-detail/C844910.html</x:v>
      </x:c>
      <x:c r="Q151" s="33" t="str">
        <x:v>https://www.digikey.com/en/product-highlight/v/vishay-dale/wslp1206-very-high-power-1-w-surface-mount-power-metal-strip-resistor; https://www.vishay.com/docs/30122/wslp.pdf</x:v>
      </x:c>
      <x:c r="R151" s="33" t="str">
        <x:v>Original C309628 thick-film1500ppm/K rejected for precision current sensing; proposed metal strip needs repetitive pulse, hot derating and Kelvin pad review.</x:v>
      </x:c>
    </x:row>
    <x:row r="152" ht="42" customHeight="1">
      <x:c r="A152" s="8" t="str">
        <x:v>WSLP2512R0100FEA</x:v>
      </x:c>
      <x:c r="B152" s="2" t="n">
        <x:v>6</x:v>
      </x:c>
      <x:c r="C152" s="14" t="n">
        <x:v>10</x:v>
      </x:c>
      <x:c r="D152" s="23" t="n">
        <x:v>0.99</x:v>
      </x:c>
      <x:c r="E152" s="17" t="n">
        <x:v>0</x:v>
      </x:c>
      <x:c r="F152" s="19" t="n">
        <x:f>ROUND(IF(ISNUMBER(D152),C152*D152,0)+E152+1E-9,2)</x:f>
        <x:v>9.9</x:v>
      </x:c>
      <x:c r="G152" s="14" t="n">
        <x:v>66</x:v>
      </x:c>
      <x:c r="H152" s="23" t="n">
        <x:v>0.8038</x:v>
      </x:c>
      <x:c r="I152" s="17" t="n">
        <x:v>0</x:v>
      </x:c>
      <x:c r="J152" s="19" t="n">
        <x:f>ROUND(IF(ISNUMBER(H152),G152*H152,0)+I152+1E-9,2)</x:f>
        <x:v>53.05</x:v>
      </x:c>
      <x:c r="K152" s="2" t="str">
        <x:v>CATALOG_PRICE</x:v>
      </x:c>
      <x:c r="L152" s="2" t="str">
        <x:v>Vishay</x:v>
      </x:c>
      <x:c r="M152" s="31" t="str">
        <x:v>R5427; R5447; R5467; R5487; R5507; R5527</x:v>
      </x:c>
      <x:c r="N152" s="32" t="str">
        <x:v>2512</x:v>
      </x:c>
      <x:c r="O152" s="31" t="str">
        <x:v>SELECTED_CONDITIONAL</x:v>
      </x:c>
      <x:c r="P152" s="31" t="str">
        <x:v>https://www.digikey.com/en/products/detail/vishay-dale/WSLP2512R0100FEA/9758426</x:v>
      </x:c>
      <x:c r="Q152" s="31" t="str">
        <x:v>https://www.vishay.com/docs/30122/wslp.pdf</x:v>
      </x:c>
      <x:c r="R152" s="31" t="str">
        <x:v>Repetitive pulse current, board heat flow and Kelvin routing require qualification.</x:v>
      </x:c>
    </x:row>
    <x:row r="153" ht="42" customHeight="1">
      <x:c r="A153" s="11" t="str">
        <x:v>XAL5030-222MEC</x:v>
      </x:c>
      <x:c r="B153" s="12" t="n">
        <x:v>1</x:v>
      </x:c>
      <x:c r="C153" s="15" t="n">
        <x:v>2</x:v>
      </x:c>
      <x:c r="D153" s="24" t="n">
        <x:v>6.7454</x:v>
      </x:c>
      <x:c r="E153" s="18" t="n">
        <x:v>0</x:v>
      </x:c>
      <x:c r="F153" s="21" t="n">
        <x:f>ROUND(IF(ISNUMBER(D153),C153*D153,0)+E153+1E-9,2)</x:f>
        <x:v>13.49</x:v>
      </x:c>
      <x:c r="G153" s="15" t="n">
        <x:v>11</x:v>
      </x:c>
      <x:c r="H153" s="24" t="n">
        <x:v>5.9391</x:v>
      </x:c>
      <x:c r="I153" s="18" t="n">
        <x:v>0</x:v>
      </x:c>
      <x:c r="J153" s="21" t="n">
        <x:f>ROUND(IF(ISNUMBER(H153),G153*H153,0)+I153+1E-9,2)</x:f>
        <x:v>65.33</x:v>
      </x:c>
      <x:c r="K153" s="12" t="str">
        <x:v>CATALOG_PRICE</x:v>
      </x:c>
      <x:c r="L153" s="12" t="str">
        <x:v>Coilcraft</x:v>
      </x:c>
      <x:c r="M153" s="33" t="str">
        <x:v>L5300</x:v>
      </x:c>
      <x:c r="N153" s="34" t="str">
        <x:v>L_Coilcraft_XAL5030-XXX</x:v>
      </x:c>
      <x:c r="O153" s="33" t="str">
        <x:v>REFERENCE_MPN_RETAINED</x:v>
      </x:c>
      <x:c r="P153" s="33" t="str">
        <x:v>https://www.lcsc.com/product-detail/power-inductors_coilcraft-xal5030-222mec_C920280.html</x:v>
      </x:c>
      <x:c r="Q153" s="33" t="str">
        <x:v>https://www.coilcraft.com/en-us/products/power/shielded-inductors/molded-inductor/xal/xal5030/</x:v>
      </x:c>
      <x:c r="R153" s="33" t="str">
        <x:v>Existing schematic MPN retained. Complete circuit rating/temperature and package signoff is still required.</x:v>
      </x:c>
    </x:row>
    <x:row r="154" ht="42" customHeight="1">
      <x:c r="A154" s="8" t="str">
        <x:v>XAL7070-682MEC</x:v>
      </x:c>
      <x:c r="B154" s="2" t="n">
        <x:v>1</x:v>
      </x:c>
      <x:c r="C154" s="14" t="n">
        <x:v>2</x:v>
      </x:c>
      <x:c r="D154" s="23" t="n">
        <x:v>3.8101</x:v>
      </x:c>
      <x:c r="E154" s="17" t="n">
        <x:v>0</x:v>
      </x:c>
      <x:c r="F154" s="19" t="n">
        <x:f>ROUND(IF(ISNUMBER(D154),C154*D154,0)+E154+1E-9,2)</x:f>
        <x:v>7.62</x:v>
      </x:c>
      <x:c r="G154" s="14" t="n">
        <x:v>11</x:v>
      </x:c>
      <x:c r="H154" s="23" t="n">
        <x:v>3.2616</x:v>
      </x:c>
      <x:c r="I154" s="17" t="n">
        <x:v>0</x:v>
      </x:c>
      <x:c r="J154" s="19" t="n">
        <x:f>ROUND(IF(ISNUMBER(H154),G154*H154,0)+I154+1E-9,2)</x:f>
        <x:v>35.88</x:v>
      </x:c>
      <x:c r="K154" s="2" t="str">
        <x:v>CATALOG_PRICE</x:v>
      </x:c>
      <x:c r="L154" s="2" t="str">
        <x:v>Coilcraft</x:v>
      </x:c>
      <x:c r="M154" s="31" t="str">
        <x:v>L5200</x:v>
      </x:c>
      <x:c r="N154" s="32" t="str">
        <x:v>L_Coilcraft_XAL7070-XXX</x:v>
      </x:c>
      <x:c r="O154" s="31" t="str">
        <x:v>REFERENCE_MPN_RETAINED</x:v>
      </x:c>
      <x:c r="P154" s="31" t="str">
        <x:v>https://www.lcsc.com/product-detail/power-inductors_coilcraft-xal7070-682mec_C3911753.html</x:v>
      </x:c>
      <x:c r="Q154" s="31" t="str">
        <x:v>https://www.coilcraft.com/en-us/products/power/shielded-inductors/molded-inductor/xal/xal7070/</x:v>
      </x:c>
      <x:c r="R154" s="31" t="str">
        <x:v>Existing schematic MPN retained. Complete circuit rating/temperature and package signoff is still required.</x:v>
      </x:c>
    </x:row>
    <x:row r="155" ht="44" customHeight="1">
      <x:c r="A155" s="29" t="str">
        <x:v>ИТОГО</x:v>
      </x:c>
      <x:c r="B155" s="7"/>
      <x:c r="C155" s="7"/>
      <x:c r="D155" s="30"/>
      <x:c r="E155" s="30"/>
      <x:c r="F155" s="30" t="n">
        <x:f>SUM(F6:F154)</x:f>
        <x:v>1490.2800000000007</x:v>
      </x:c>
      <x:c r="G155" s="7"/>
      <x:c r="H155" s="30"/>
      <x:c r="I155" s="30"/>
      <x:c r="J155" s="30" t="n">
        <x:f>SUM(J6:J154)</x:f>
        <x:v>7134.860000000001</x:v>
      </x:c>
      <x:c r="K155" s="2"/>
      <x:c r="L155" s="2"/>
      <x:c r="M155" s="2"/>
      <x:c r="N155" s="8"/>
      <x:c r="O155" s="2"/>
      <x:c r="P155" s="2"/>
      <x:c r="Q155" s="2"/>
      <x:c r="R15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5A8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36" hidden="0" customWidth="1"/>
    <x:col min="5" max="5" width="26" hidden="0" customWidth="1"/>
    <x:col min="6" max="6" width="26" hidden="0" customWidth="1"/>
    <x:col min="7" max="7" width="20" hidden="0" customWidth="1"/>
    <x:col min="8" max="8" width="27" hidden="0" customWidth="1"/>
    <x:col min="9" max="9" width="18" hidden="0" customWidth="1"/>
    <x:col min="10" max="10" width="48" hidden="0" customWidth="1"/>
    <x:col min="11" max="11" width="48" hidden="0" customWidth="1"/>
    <x:col min="12" max="12" width="55" hidden="0" customWidth="1"/>
  </x:cols>
  <x:sheetData>
    <x:row r="1" ht="24" customHeight="1">
      <x:c r="A1" s="3" t="str">
        <x:v>BOM по позициям схемы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1047 устанавливаемых компонентов • 1092 физических позиций • Netlist abd9c0533019b981…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4" customHeight="1">
      <x:c r="A5" s="7" t="str">
        <x:v>Позиция</x:v>
      </x:c>
      <x:c r="B5" s="7" t="str">
        <x:v>Номинал / тип</x:v>
      </x:c>
      <x:c r="C5" s="7" t="str">
        <x:v>Установка</x:v>
      </x:c>
      <x:c r="D5" s="7" t="str">
        <x:v>Выбранный MPN</x:v>
      </x:c>
      <x:c r="E5" s="7" t="str">
        <x:v>Производитель</x:v>
      </x:c>
      <x:c r="F5" s="7" t="str">
        <x:v>Корпус</x:v>
      </x:c>
      <x:c r="G5" s="7" t="str">
        <x:v>Монтаж</x:v>
      </x:c>
      <x:c r="H5" s="7" t="str">
        <x:v>Статус подбора</x:v>
      </x:c>
      <x:c r="I5" s="7" t="str">
        <x:v>В закупку</x:v>
      </x:c>
      <x:c r="J5" s="7" t="str">
        <x:v>Электрические требования</x:v>
      </x:c>
      <x:c r="K5" s="7" t="str">
        <x:v>Источники</x:v>
      </x:c>
      <x:c r="L5" s="7" t="str">
        <x:v>Ограничения</x:v>
      </x:c>
    </x:row>
    <x:row r="6" ht="38" customHeight="1">
      <x:c r="A6" s="12" t="str">
        <x:v>C101</x:v>
      </x:c>
      <x:c r="B6" s="12" t="str">
        <x:v>100n 16V X7R</x:v>
      </x:c>
      <x:c r="C6" s="12" t="str">
        <x:v>Да</x:v>
      </x:c>
      <x:c r="D6" s="11" t="str">
        <x:v>C0603C104K5RACTU</x:v>
      </x:c>
      <x:c r="E6" s="12" t="str">
        <x:v>KEMET</x:v>
      </x:c>
      <x:c r="F6" s="11" t="str">
        <x:v>0603</x:v>
      </x:c>
      <x:c r="G6" s="12" t="str">
        <x:v>SURFACE_MOUNT</x:v>
      </x:c>
      <x:c r="H6" s="12" t="str">
        <x:v>SELECTED_CATALOG_ITEM</x:v>
      </x:c>
      <x:c r="I6" s="12" t="str">
        <x:v>Не выпущено</x:v>
      </x:c>
      <x:c r="J6" s="33" t="str">
        <x:v>capacitance_pf: 100000; rated_voltage_v: 50; dielectric: X7R; tolerance_pct: 10; temperature_min_c: -55; temperature_max_c: 125</x:v>
      </x:c>
      <x:c r="K6" s="33" t="str">
        <x:v>https://search.kemet.com/download/specsheet/C0603C104K5RACTU</x:v>
      </x:c>
      <x:c r="L6" s="33" t="str"/>
    </x:row>
    <x:row r="7" ht="38" customHeight="1">
      <x:c r="A7" s="2" t="str">
        <x:v>C102</x:v>
      </x:c>
      <x:c r="B7" s="2" t="str">
        <x:v>100n 16V X7R</x:v>
      </x:c>
      <x:c r="C7" s="2" t="str">
        <x:v>Да</x:v>
      </x:c>
      <x:c r="D7" s="8" t="str">
        <x:v>C0603C104K5RACTU</x:v>
      </x:c>
      <x:c r="E7" s="2" t="str">
        <x:v>KEMET</x:v>
      </x:c>
      <x:c r="F7" s="8" t="str">
        <x:v>0603</x:v>
      </x:c>
      <x:c r="G7" s="2" t="str">
        <x:v>SURFACE_MOUNT</x:v>
      </x:c>
      <x:c r="H7" s="2" t="str">
        <x:v>SELECTED_CATALOG_ITEM</x:v>
      </x:c>
      <x:c r="I7" s="2" t="str">
        <x:v>Не выпущено</x:v>
      </x:c>
      <x:c r="J7" s="31" t="str">
        <x:v>capacitance_pf: 100000; rated_voltage_v: 50; dielectric: X7R; tolerance_pct: 10; temperature_min_c: -55; temperature_max_c: 125</x:v>
      </x:c>
      <x:c r="K7" s="31" t="str">
        <x:v>https://search.kemet.com/download/specsheet/C0603C104K5RACTU</x:v>
      </x:c>
      <x:c r="L7" s="31" t="str"/>
    </x:row>
    <x:row r="8" ht="38" customHeight="1">
      <x:c r="A8" s="12" t="str">
        <x:v>C103</x:v>
      </x:c>
      <x:c r="B8" s="12" t="str">
        <x:v>100n 16V X7R</x:v>
      </x:c>
      <x:c r="C8" s="12" t="str">
        <x:v>Да</x:v>
      </x:c>
      <x:c r="D8" s="11" t="str">
        <x:v>C0603C104K5RACTU</x:v>
      </x:c>
      <x:c r="E8" s="12" t="str">
        <x:v>KEMET</x:v>
      </x:c>
      <x:c r="F8" s="11" t="str">
        <x:v>0603</x:v>
      </x:c>
      <x:c r="G8" s="12" t="str">
        <x:v>SURFACE_MOUNT</x:v>
      </x:c>
      <x:c r="H8" s="12" t="str">
        <x:v>SELECTED_CATALOG_ITEM</x:v>
      </x:c>
      <x:c r="I8" s="12" t="str">
        <x:v>Не выпущено</x:v>
      </x:c>
      <x:c r="J8" s="33" t="str">
        <x:v>capacitance_pf: 100000; rated_voltage_v: 50; dielectric: X7R; tolerance_pct: 10; temperature_min_c: -55; temperature_max_c: 125</x:v>
      </x:c>
      <x:c r="K8" s="33" t="str">
        <x:v>https://search.kemet.com/download/specsheet/C0603C104K5RACTU</x:v>
      </x:c>
      <x:c r="L8" s="33" t="str"/>
    </x:row>
    <x:row r="9" ht="38" customHeight="1">
      <x:c r="A9" s="2" t="str">
        <x:v>C104</x:v>
      </x:c>
      <x:c r="B9" s="2" t="str">
        <x:v>100n 16V X7R</x:v>
      </x:c>
      <x:c r="C9" s="2" t="str">
        <x:v>Да</x:v>
      </x:c>
      <x:c r="D9" s="8" t="str">
        <x:v>C0603C104K5RACTU</x:v>
      </x:c>
      <x:c r="E9" s="2" t="str">
        <x:v>KEMET</x:v>
      </x:c>
      <x:c r="F9" s="8" t="str">
        <x:v>0603</x:v>
      </x:c>
      <x:c r="G9" s="2" t="str">
        <x:v>SURFACE_MOUNT</x:v>
      </x:c>
      <x:c r="H9" s="2" t="str">
        <x:v>SELECTED_CATALOG_ITEM</x:v>
      </x:c>
      <x:c r="I9" s="2" t="str">
        <x:v>Не выпущено</x:v>
      </x:c>
      <x:c r="J9" s="31" t="str">
        <x:v>capacitance_pf: 100000; rated_voltage_v: 50; dielectric: X7R; tolerance_pct: 10; temperature_min_c: -55; temperature_max_c: 125</x:v>
      </x:c>
      <x:c r="K9" s="31" t="str">
        <x:v>https://search.kemet.com/download/specsheet/C0603C104K5RACTU</x:v>
      </x:c>
      <x:c r="L9" s="31" t="str"/>
    </x:row>
    <x:row r="10" ht="38" customHeight="1">
      <x:c r="A10" s="12" t="str">
        <x:v>C105</x:v>
      </x:c>
      <x:c r="B10" s="12" t="str">
        <x:v>100n 16V X7R</x:v>
      </x:c>
      <x:c r="C10" s="12" t="str">
        <x:v>Да</x:v>
      </x:c>
      <x:c r="D10" s="11" t="str">
        <x:v>C0603C104K5RACTU</x:v>
      </x:c>
      <x:c r="E10" s="12" t="str">
        <x:v>KEMET</x:v>
      </x:c>
      <x:c r="F10" s="11" t="str">
        <x:v>0603</x:v>
      </x:c>
      <x:c r="G10" s="12" t="str">
        <x:v>SURFACE_MOUNT</x:v>
      </x:c>
      <x:c r="H10" s="12" t="str">
        <x:v>SELECTED_CATALOG_ITEM</x:v>
      </x:c>
      <x:c r="I10" s="12" t="str">
        <x:v>Не выпущено</x:v>
      </x:c>
      <x:c r="J10" s="33" t="str">
        <x:v>capacitance_pf: 100000; rated_voltage_v: 50; dielectric: X7R; tolerance_pct: 10; temperature_min_c: -55; temperature_max_c: 125</x:v>
      </x:c>
      <x:c r="K10" s="33" t="str">
        <x:v>https://search.kemet.com/download/specsheet/C0603C104K5RACTU</x:v>
      </x:c>
      <x:c r="L10" s="33" t="str"/>
    </x:row>
    <x:row r="11" ht="38" customHeight="1">
      <x:c r="A11" s="2" t="str">
        <x:v>C106</x:v>
      </x:c>
      <x:c r="B11" s="2" t="str">
        <x:v>100n 16V X7R</x:v>
      </x:c>
      <x:c r="C11" s="2" t="str">
        <x:v>Да</x:v>
      </x:c>
      <x:c r="D11" s="8" t="str">
        <x:v>C0603C104K5RACTU</x:v>
      </x:c>
      <x:c r="E11" s="2" t="str">
        <x:v>KEMET</x:v>
      </x:c>
      <x:c r="F11" s="8" t="str">
        <x:v>0603</x:v>
      </x:c>
      <x:c r="G11" s="2" t="str">
        <x:v>SURFACE_MOUNT</x:v>
      </x:c>
      <x:c r="H11" s="2" t="str">
        <x:v>SELECTED_CATALOG_ITEM</x:v>
      </x:c>
      <x:c r="I11" s="2" t="str">
        <x:v>Не выпущено</x:v>
      </x:c>
      <x:c r="J11" s="31" t="str">
        <x:v>capacitance_pf: 100000; rated_voltage_v: 50; dielectric: X7R; tolerance_pct: 10; temperature_min_c: -55; temperature_max_c: 125</x:v>
      </x:c>
      <x:c r="K11" s="31" t="str">
        <x:v>https://search.kemet.com/download/specsheet/C0603C104K5RACTU</x:v>
      </x:c>
      <x:c r="L11" s="31" t="str"/>
    </x:row>
    <x:row r="12" ht="38" customHeight="1">
      <x:c r="A12" s="12" t="str">
        <x:v>C107</x:v>
      </x:c>
      <x:c r="B12" s="12" t="str">
        <x:v>100n 16V X7R</x:v>
      </x:c>
      <x:c r="C12" s="12" t="str">
        <x:v>Да</x:v>
      </x:c>
      <x:c r="D12" s="11" t="str">
        <x:v>C0603C104K5RACTU</x:v>
      </x:c>
      <x:c r="E12" s="12" t="str">
        <x:v>KEMET</x:v>
      </x:c>
      <x:c r="F12" s="11" t="str">
        <x:v>0603</x:v>
      </x:c>
      <x:c r="G12" s="12" t="str">
        <x:v>SURFACE_MOUNT</x:v>
      </x:c>
      <x:c r="H12" s="12" t="str">
        <x:v>SELECTED_CATALOG_ITEM</x:v>
      </x:c>
      <x:c r="I12" s="12" t="str">
        <x:v>Не выпущено</x:v>
      </x:c>
      <x:c r="J12" s="33" t="str">
        <x:v>capacitance_pf: 100000; rated_voltage_v: 50; dielectric: X7R; tolerance_pct: 10; temperature_min_c: -55; temperature_max_c: 125</x:v>
      </x:c>
      <x:c r="K12" s="33" t="str">
        <x:v>https://search.kemet.com/download/specsheet/C0603C104K5RACTU</x:v>
      </x:c>
      <x:c r="L12" s="33" t="str"/>
    </x:row>
    <x:row r="13" ht="38" customHeight="1">
      <x:c r="A13" s="2" t="str">
        <x:v>C108</x:v>
      </x:c>
      <x:c r="B13" s="2" t="str">
        <x:v>100n 16V X7R</x:v>
      </x:c>
      <x:c r="C13" s="2" t="str">
        <x:v>Да</x:v>
      </x:c>
      <x:c r="D13" s="8" t="str">
        <x:v>C0603C104K5RACTU</x:v>
      </x:c>
      <x:c r="E13" s="2" t="str">
        <x:v>KEMET</x:v>
      </x:c>
      <x:c r="F13" s="8" t="str">
        <x:v>0603</x:v>
      </x:c>
      <x:c r="G13" s="2" t="str">
        <x:v>SURFACE_MOUNT</x:v>
      </x:c>
      <x:c r="H13" s="2" t="str">
        <x:v>SELECTED_CATALOG_ITEM</x:v>
      </x:c>
      <x:c r="I13" s="2" t="str">
        <x:v>Не выпущено</x:v>
      </x:c>
      <x:c r="J13" s="31" t="str">
        <x:v>capacitance_pf: 100000; rated_voltage_v: 50; dielectric: X7R; tolerance_pct: 10; temperature_min_c: -55; temperature_max_c: 125</x:v>
      </x:c>
      <x:c r="K13" s="31" t="str">
        <x:v>https://search.kemet.com/download/specsheet/C0603C104K5RACTU</x:v>
      </x:c>
      <x:c r="L13" s="31" t="str"/>
    </x:row>
    <x:row r="14" ht="38" customHeight="1">
      <x:c r="A14" s="12" t="str">
        <x:v>C109</x:v>
      </x:c>
      <x:c r="B14" s="12" t="str">
        <x:v>100n 16V X7R</x:v>
      </x:c>
      <x:c r="C14" s="12" t="str">
        <x:v>Да</x:v>
      </x:c>
      <x:c r="D14" s="11" t="str">
        <x:v>C0603C104K5RACTU</x:v>
      </x:c>
      <x:c r="E14" s="12" t="str">
        <x:v>KEMET</x:v>
      </x:c>
      <x:c r="F14" s="11" t="str">
        <x:v>0603</x:v>
      </x:c>
      <x:c r="G14" s="12" t="str">
        <x:v>SURFACE_MOUNT</x:v>
      </x:c>
      <x:c r="H14" s="12" t="str">
        <x:v>SELECTED_CATALOG_ITEM</x:v>
      </x:c>
      <x:c r="I14" s="12" t="str">
        <x:v>Не выпущено</x:v>
      </x:c>
      <x:c r="J14" s="33" t="str">
        <x:v>capacitance_pf: 100000; rated_voltage_v: 50; dielectric: X7R; tolerance_pct: 10; temperature_min_c: -55; temperature_max_c: 125</x:v>
      </x:c>
      <x:c r="K14" s="33" t="str">
        <x:v>https://search.kemet.com/download/specsheet/C0603C104K5RACTU</x:v>
      </x:c>
      <x:c r="L14" s="33" t="str"/>
    </x:row>
    <x:row r="15" ht="38" customHeight="1">
      <x:c r="A15" s="2" t="str">
        <x:v>C110</x:v>
      </x:c>
      <x:c r="B15" s="2" t="str">
        <x:v>100n 16V X7R</x:v>
      </x:c>
      <x:c r="C15" s="2" t="str">
        <x:v>Да</x:v>
      </x:c>
      <x:c r="D15" s="8" t="str">
        <x:v>C0603C104K5RACTU</x:v>
      </x:c>
      <x:c r="E15" s="2" t="str">
        <x:v>KEMET</x:v>
      </x:c>
      <x:c r="F15" s="8" t="str">
        <x:v>0603</x:v>
      </x:c>
      <x:c r="G15" s="2" t="str">
        <x:v>SURFACE_MOUNT</x:v>
      </x:c>
      <x:c r="H15" s="2" t="str">
        <x:v>SELECTED_CATALOG_ITEM</x:v>
      </x:c>
      <x:c r="I15" s="2" t="str">
        <x:v>Не выпущено</x:v>
      </x:c>
      <x:c r="J15" s="31" t="str">
        <x:v>capacitance_pf: 100000; rated_voltage_v: 50; dielectric: X7R; tolerance_pct: 10; temperature_min_c: -55; temperature_max_c: 125</x:v>
      </x:c>
      <x:c r="K15" s="31" t="str">
        <x:v>https://search.kemet.com/download/specsheet/C0603C104K5RACTU</x:v>
      </x:c>
      <x:c r="L15" s="31" t="str"/>
    </x:row>
    <x:row r="16" ht="38" customHeight="1">
      <x:c r="A16" s="12" t="str">
        <x:v>C111</x:v>
      </x:c>
      <x:c r="B16" s="12" t="str">
        <x:v>100n 16V X7R</x:v>
      </x:c>
      <x:c r="C16" s="12" t="str">
        <x:v>Да</x:v>
      </x:c>
      <x:c r="D16" s="11" t="str">
        <x:v>C0603C104K5RACTU</x:v>
      </x:c>
      <x:c r="E16" s="12" t="str">
        <x:v>KEMET</x:v>
      </x:c>
      <x:c r="F16" s="11" t="str">
        <x:v>0603</x:v>
      </x:c>
      <x:c r="G16" s="12" t="str">
        <x:v>SURFACE_MOUNT</x:v>
      </x:c>
      <x:c r="H16" s="12" t="str">
        <x:v>SELECTED_CATALOG_ITEM</x:v>
      </x:c>
      <x:c r="I16" s="12" t="str">
        <x:v>Не выпущено</x:v>
      </x:c>
      <x:c r="J16" s="33" t="str">
        <x:v>capacitance_pf: 100000; rated_voltage_v: 50; dielectric: X7R; tolerance_pct: 10; temperature_min_c: -55; temperature_max_c: 125</x:v>
      </x:c>
      <x:c r="K16" s="33" t="str">
        <x:v>https://search.kemet.com/download/specsheet/C0603C104K5RACTU</x:v>
      </x:c>
      <x:c r="L16" s="33" t="str"/>
    </x:row>
    <x:row r="17" ht="38" customHeight="1">
      <x:c r="A17" s="2" t="str">
        <x:v>C112</x:v>
      </x:c>
      <x:c r="B17" s="2" t="str">
        <x:v>100n 16V X7R</x:v>
      </x:c>
      <x:c r="C17" s="2" t="str">
        <x:v>Да</x:v>
      </x:c>
      <x:c r="D17" s="8" t="str">
        <x:v>C0603C104K5RACTU</x:v>
      </x:c>
      <x:c r="E17" s="2" t="str">
        <x:v>KEMET</x:v>
      </x:c>
      <x:c r="F17" s="8" t="str">
        <x:v>0603</x:v>
      </x:c>
      <x:c r="G17" s="2" t="str">
        <x:v>SURFACE_MOUNT</x:v>
      </x:c>
      <x:c r="H17" s="2" t="str">
        <x:v>SELECTED_CATALOG_ITEM</x:v>
      </x:c>
      <x:c r="I17" s="2" t="str">
        <x:v>Не выпущено</x:v>
      </x:c>
      <x:c r="J17" s="31" t="str">
        <x:v>capacitance_pf: 100000; rated_voltage_v: 50; dielectric: X7R; tolerance_pct: 10; temperature_min_c: -55; temperature_max_c: 125</x:v>
      </x:c>
      <x:c r="K17" s="31" t="str">
        <x:v>https://search.kemet.com/download/specsheet/C0603C104K5RACTU</x:v>
      </x:c>
      <x:c r="L17" s="31" t="str"/>
    </x:row>
    <x:row r="18" ht="38" customHeight="1">
      <x:c r="A18" s="12" t="str">
        <x:v>C113</x:v>
      </x:c>
      <x:c r="B18" s="12" t="str">
        <x:v>100n 16V X7R</x:v>
      </x:c>
      <x:c r="C18" s="12" t="str">
        <x:v>Да</x:v>
      </x:c>
      <x:c r="D18" s="11" t="str">
        <x:v>C0603C104K5RACTU</x:v>
      </x:c>
      <x:c r="E18" s="12" t="str">
        <x:v>KEMET</x:v>
      </x:c>
      <x:c r="F18" s="11" t="str">
        <x:v>0603</x:v>
      </x:c>
      <x:c r="G18" s="12" t="str">
        <x:v>SURFACE_MOUNT</x:v>
      </x:c>
      <x:c r="H18" s="12" t="str">
        <x:v>SELECTED_CATALOG_ITEM</x:v>
      </x:c>
      <x:c r="I18" s="12" t="str">
        <x:v>Не выпущено</x:v>
      </x:c>
      <x:c r="J18" s="33" t="str">
        <x:v>capacitance_pf: 100000; rated_voltage_v: 50; dielectric: X7R; tolerance_pct: 10; temperature_min_c: -55; temperature_max_c: 125</x:v>
      </x:c>
      <x:c r="K18" s="33" t="str">
        <x:v>https://search.kemet.com/download/specsheet/C0603C104K5RACTU</x:v>
      </x:c>
      <x:c r="L18" s="33" t="str"/>
    </x:row>
    <x:row r="19" ht="38" customHeight="1">
      <x:c r="A19" s="2" t="str">
        <x:v>C114</x:v>
      </x:c>
      <x:c r="B19" s="2" t="str">
        <x:v>10u 16V X7R</x:v>
      </x:c>
      <x:c r="C19" s="2" t="str">
        <x:v>Да</x:v>
      </x:c>
      <x:c r="D19" s="8" t="str">
        <x:v>C1206C106K4RACTU</x:v>
      </x:c>
      <x:c r="E19" s="2" t="str">
        <x:v>KEMET</x:v>
      </x:c>
      <x:c r="F19" s="8" t="str">
        <x:v>1206</x:v>
      </x:c>
      <x:c r="G19" s="2" t="str">
        <x:v>SURFACE_MOUNT</x:v>
      </x:c>
      <x:c r="H19" s="2" t="str">
        <x:v>SELECTED_CONDITIONAL</x:v>
      </x:c>
      <x:c r="I19" s="2" t="str">
        <x:v>Не выпущено</x:v>
      </x:c>
      <x:c r="J19" s="31" t="str">
        <x:v>capacitance_pf: 10000000; rated_voltage_v: 16; dielectric: X7R; tolerance_pct: 10; temperature_min_c: -55; temperature_max_c: 125; effective_capacitance_min_pf: None; required_effective_capacitance_min_pf: 4700000; dc_bias_qualification: PENDING_AT_ACTUAL_NODE_VOLTAGE</x:v>
      </x:c>
      <x:c r="K19" s="31" t="str">
        <x:v>https://search.kemet.com/component-documentation/download/specsheet/C1206C106K4RACTU</x:v>
      </x:c>
      <x:c r="L19" s="31" t="str">
        <x:v>Nominal10uF alone does not establish required4.7uF effective minimum.; C114 must provide &gt;=4.7uF effective at actual 3.3V, temperature, negative tolerance and aging. 10uF nominal is not proof; supplier envelope and board validation pending.; Required effective capacitance not yet verified with supplier bias, temperature, tolerance and aging envelope.</x:v>
      </x:c>
    </x:row>
    <x:row r="20" ht="38" customHeight="1">
      <x:c r="A20" s="12" t="str">
        <x:v>C115</x:v>
      </x:c>
      <x:c r="B20" s="12" t="str">
        <x:v>2.2u 10V X7R</x:v>
      </x:c>
      <x:c r="C20" s="12" t="str">
        <x:v>Да</x:v>
      </x:c>
      <x:c r="D20" s="11" t="str">
        <x:v>C0603C225K8RACTU</x:v>
      </x:c>
      <x:c r="E20" s="12" t="str">
        <x:v>KEMET</x:v>
      </x:c>
      <x:c r="F20" s="11" t="str">
        <x:v>0603</x:v>
      </x:c>
      <x:c r="G20" s="12" t="str">
        <x:v>SURFACE_MOUNT</x:v>
      </x:c>
      <x:c r="H20" s="12" t="str">
        <x:v>SELECTED_CATALOG_ITEM</x:v>
      </x:c>
      <x:c r="I20" s="12" t="str">
        <x:v>Не выпущено</x:v>
      </x:c>
      <x:c r="J20" s="33" t="str">
        <x:v>capacitance_pf: 2200000; rated_voltage_v: 10; dielectric: X7R; tolerance_pct: 10; temperature_min_c: -55; temperature_max_c: 125; effective_capacitance_min_pf: None; dc_bias_qualification: PENDING_AT_ACTUAL_NODE_VOLTAGE</x:v>
      </x:c>
      <x:c r="K20" s="33" t="str">
        <x:v>https://www.tme.com/us/en-us/details/c0603c225k8rac/mlcc-smd-capacitors/kemet/c0603c225k8ractu/</x:v>
      </x:c>
      <x:c r="L20" s="33" t="str">
        <x:v>Required effective capacitance not yet verified with supplier bias, temperature, tolerance and aging envelope.</x:v>
      </x:c>
    </x:row>
    <x:row r="21" ht="38" customHeight="1">
      <x:c r="A21" s="2" t="str">
        <x:v>C116</x:v>
      </x:c>
      <x:c r="B21" s="2" t="str">
        <x:v>2.2u 10V X7R</x:v>
      </x:c>
      <x:c r="C21" s="2" t="str">
        <x:v>Да</x:v>
      </x:c>
      <x:c r="D21" s="8" t="str">
        <x:v>C0603C225K8RACTU</x:v>
      </x:c>
      <x:c r="E21" s="2" t="str">
        <x:v>KEMET</x:v>
      </x:c>
      <x:c r="F21" s="8" t="str">
        <x:v>0603</x:v>
      </x:c>
      <x:c r="G21" s="2" t="str">
        <x:v>SURFACE_MOUNT</x:v>
      </x:c>
      <x:c r="H21" s="2" t="str">
        <x:v>SELECTED_CATALOG_ITEM</x:v>
      </x:c>
      <x:c r="I21" s="2" t="str">
        <x:v>Не выпущено</x:v>
      </x:c>
      <x:c r="J21" s="31" t="str">
        <x:v>capacitance_pf: 2200000; rated_voltage_v: 10; dielectric: X7R; tolerance_pct: 10; temperature_min_c: -55; temperature_max_c: 125; effective_capacitance_min_pf: None; dc_bias_qualification: PENDING_AT_ACTUAL_NODE_VOLTAGE</x:v>
      </x:c>
      <x:c r="K21" s="31" t="str">
        <x:v>https://www.tme.com/us/en-us/details/c0603c225k8rac/mlcc-smd-capacitors/kemet/c0603c225k8ractu/</x:v>
      </x:c>
      <x:c r="L21" s="31" t="str">
        <x:v>Required effective capacitance not yet verified with supplier bias, temperature, tolerance and aging envelope.</x:v>
      </x:c>
    </x:row>
    <x:row r="22" ht="38" customHeight="1">
      <x:c r="A22" s="12" t="str">
        <x:v>C117</x:v>
      </x:c>
      <x:c r="B22" s="12" t="str">
        <x:v>100n 16V X7R</x:v>
      </x:c>
      <x:c r="C22" s="12" t="str">
        <x:v>Да</x:v>
      </x:c>
      <x:c r="D22" s="11" t="str">
        <x:v>C0603C104K5RACTU</x:v>
      </x:c>
      <x:c r="E22" s="12" t="str">
        <x:v>KEMET</x:v>
      </x:c>
      <x:c r="F22" s="11" t="str">
        <x:v>0603</x:v>
      </x:c>
      <x:c r="G22" s="12" t="str">
        <x:v>SURFACE_MOUNT</x:v>
      </x:c>
      <x:c r="H22" s="12" t="str">
        <x:v>SELECTED_CATALOG_ITEM</x:v>
      </x:c>
      <x:c r="I22" s="12" t="str">
        <x:v>Не выпущено</x:v>
      </x:c>
      <x:c r="J22" s="33" t="str">
        <x:v>capacitance_pf: 100000; rated_voltage_v: 50; dielectric: X7R; tolerance_pct: 10; temperature_min_c: -55; temperature_max_c: 125</x:v>
      </x:c>
      <x:c r="K22" s="33" t="str">
        <x:v>https://search.kemet.com/download/specsheet/C0603C104K5RACTU</x:v>
      </x:c>
      <x:c r="L22" s="33" t="str"/>
    </x:row>
    <x:row r="23" ht="38" customHeight="1">
      <x:c r="A23" s="2" t="str">
        <x:v>C118</x:v>
      </x:c>
      <x:c r="B23" s="2" t="str">
        <x:v>1u 16V X7R</x:v>
      </x:c>
      <x:c r="C23" s="2" t="str">
        <x:v>Да</x:v>
      </x:c>
      <x:c r="D23" s="8" t="str">
        <x:v>C0603C105K3RACTU</x:v>
      </x:c>
      <x:c r="E23" s="2" t="str">
        <x:v>KEMET</x:v>
      </x:c>
      <x:c r="F23" s="8" t="str">
        <x:v>0603</x:v>
      </x:c>
      <x:c r="G23" s="2" t="str">
        <x:v>SURFACE_MOUNT</x:v>
      </x:c>
      <x:c r="H23" s="2" t="str">
        <x:v>SELECTED_CATALOG_ITEM</x:v>
      </x:c>
      <x:c r="I23" s="2" t="str">
        <x:v>Не выпущено</x:v>
      </x:c>
      <x:c r="J23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3" s="31" t="str">
        <x:v>https://search.kemet.com/download/specsheet/C0603C105K3RACTU</x:v>
      </x:c>
      <x:c r="L23" s="31" t="str"/>
    </x:row>
    <x:row r="24" ht="38" customHeight="1">
      <x:c r="A24" s="12" t="str">
        <x:v>C119</x:v>
      </x:c>
      <x:c r="B24" s="12" t="str">
        <x:v>100n 16V X7R</x:v>
      </x:c>
      <x:c r="C24" s="12" t="str">
        <x:v>Да</x:v>
      </x:c>
      <x:c r="D24" s="11" t="str">
        <x:v>C0603C104K5RACTU</x:v>
      </x:c>
      <x:c r="E24" s="12" t="str">
        <x:v>KEMET</x:v>
      </x:c>
      <x:c r="F24" s="11" t="str">
        <x:v>0603</x:v>
      </x:c>
      <x:c r="G24" s="12" t="str">
        <x:v>SURFACE_MOUNT</x:v>
      </x:c>
      <x:c r="H24" s="12" t="str">
        <x:v>SELECTED_CATALOG_ITEM</x:v>
      </x:c>
      <x:c r="I24" s="12" t="str">
        <x:v>Не выпущено</x:v>
      </x:c>
      <x:c r="J24" s="33" t="str">
        <x:v>capacitance_pf: 100000; rated_voltage_v: 50; dielectric: X7R; tolerance_pct: 10; temperature_min_c: -55; temperature_max_c: 125</x:v>
      </x:c>
      <x:c r="K24" s="33" t="str">
        <x:v>https://search.kemet.com/download/specsheet/C0603C104K5RACTU</x:v>
      </x:c>
      <x:c r="L24" s="33" t="str"/>
    </x:row>
    <x:row r="25" ht="38" customHeight="1">
      <x:c r="A25" s="2" t="str">
        <x:v>C120</x:v>
      </x:c>
      <x:c r="B25" s="2" t="str">
        <x:v>1u 16V X7R</x:v>
      </x:c>
      <x:c r="C25" s="2" t="str">
        <x:v>Да</x:v>
      </x:c>
      <x:c r="D25" s="8" t="str">
        <x:v>C0603C105K3RACTU</x:v>
      </x:c>
      <x:c r="E25" s="2" t="str">
        <x:v>KEMET</x:v>
      </x:c>
      <x:c r="F25" s="8" t="str">
        <x:v>0603</x:v>
      </x:c>
      <x:c r="G25" s="2" t="str">
        <x:v>SURFACE_MOUNT</x:v>
      </x:c>
      <x:c r="H25" s="2" t="str">
        <x:v>SELECTED_CATALOG_ITEM</x:v>
      </x:c>
      <x:c r="I25" s="2" t="str">
        <x:v>Не выпущено</x:v>
      </x:c>
      <x:c r="J25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5" s="31" t="str">
        <x:v>https://search.kemet.com/download/specsheet/C0603C105K3RACTU</x:v>
      </x:c>
      <x:c r="L25" s="31" t="str"/>
    </x:row>
    <x:row r="26" ht="38" customHeight="1">
      <x:c r="A26" s="12" t="str">
        <x:v>C121</x:v>
      </x:c>
      <x:c r="B26" s="12" t="str">
        <x:v>100n 16V X7R</x:v>
      </x:c>
      <x:c r="C26" s="12" t="str">
        <x:v>Да</x:v>
      </x:c>
      <x:c r="D26" s="11" t="str">
        <x:v>C0603C104K5RACTU</x:v>
      </x:c>
      <x:c r="E26" s="12" t="str">
        <x:v>KEMET</x:v>
      </x:c>
      <x:c r="F26" s="11" t="str">
        <x:v>0603</x:v>
      </x:c>
      <x:c r="G26" s="12" t="str">
        <x:v>SURFACE_MOUNT</x:v>
      </x:c>
      <x:c r="H26" s="12" t="str">
        <x:v>SELECTED_CATALOG_ITEM</x:v>
      </x:c>
      <x:c r="I26" s="12" t="str">
        <x:v>Не выпущено</x:v>
      </x:c>
      <x:c r="J26" s="33" t="str">
        <x:v>capacitance_pf: 100000; rated_voltage_v: 50; dielectric: X7R; tolerance_pct: 10; temperature_min_c: -55; temperature_max_c: 125</x:v>
      </x:c>
      <x:c r="K26" s="33" t="str">
        <x:v>https://search.kemet.com/download/specsheet/C0603C104K5RACTU</x:v>
      </x:c>
      <x:c r="L26" s="33" t="str"/>
    </x:row>
    <x:row r="27" ht="38" customHeight="1">
      <x:c r="A27" s="2" t="str">
        <x:v>C122</x:v>
      </x:c>
      <x:c r="B27" s="2" t="str">
        <x:v>1u 16V X7R</x:v>
      </x:c>
      <x:c r="C27" s="2" t="str">
        <x:v>Да</x:v>
      </x:c>
      <x:c r="D27" s="8" t="str">
        <x:v>C0603C105K3RACTU</x:v>
      </x:c>
      <x:c r="E27" s="2" t="str">
        <x:v>KEMET</x:v>
      </x:c>
      <x:c r="F27" s="8" t="str">
        <x:v>0603</x:v>
      </x:c>
      <x:c r="G27" s="2" t="str">
        <x:v>SURFACE_MOUNT</x:v>
      </x:c>
      <x:c r="H27" s="2" t="str">
        <x:v>SELECTED_CATALOG_ITEM</x:v>
      </x:c>
      <x:c r="I27" s="2" t="str">
        <x:v>Не выпущено</x:v>
      </x:c>
      <x:c r="J27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7" s="31" t="str">
        <x:v>https://search.kemet.com/download/specsheet/C0603C105K3RACTU</x:v>
      </x:c>
      <x:c r="L27" s="31" t="str"/>
    </x:row>
    <x:row r="28" ht="38" customHeight="1">
      <x:c r="A28" s="12" t="str">
        <x:v>C123</x:v>
      </x:c>
      <x:c r="B28" s="12" t="str">
        <x:v>100n 16V X7R</x:v>
      </x:c>
      <x:c r="C28" s="12" t="str">
        <x:v>Да</x:v>
      </x:c>
      <x:c r="D28" s="11" t="str">
        <x:v>C0603C104K5RACTU</x:v>
      </x:c>
      <x:c r="E28" s="12" t="str">
        <x:v>KEMET</x:v>
      </x:c>
      <x:c r="F28" s="11" t="str">
        <x:v>0603</x:v>
      </x:c>
      <x:c r="G28" s="12" t="str">
        <x:v>SURFACE_MOUNT</x:v>
      </x:c>
      <x:c r="H28" s="12" t="str">
        <x:v>SELECTED_CATALOG_ITEM</x:v>
      </x:c>
      <x:c r="I28" s="12" t="str">
        <x:v>Не выпущено</x:v>
      </x:c>
      <x:c r="J28" s="33" t="str">
        <x:v>capacitance_pf: 100000; rated_voltage_v: 50; dielectric: X7R; tolerance_pct: 10; temperature_min_c: -55; temperature_max_c: 125</x:v>
      </x:c>
      <x:c r="K28" s="33" t="str">
        <x:v>https://search.kemet.com/download/specsheet/C0603C104K5RACTU</x:v>
      </x:c>
      <x:c r="L28" s="33" t="str"/>
    </x:row>
    <x:row r="29" ht="38" customHeight="1">
      <x:c r="A29" s="2" t="str">
        <x:v>C124</x:v>
      </x:c>
      <x:c r="B29" s="2" t="str">
        <x:v>100n 16V X7R</x:v>
      </x:c>
      <x:c r="C29" s="2" t="str">
        <x:v>Да</x:v>
      </x:c>
      <x:c r="D29" s="8" t="str">
        <x:v>C0603C104K5RACTU</x:v>
      </x:c>
      <x:c r="E29" s="2" t="str">
        <x:v>KEMET</x:v>
      </x:c>
      <x:c r="F29" s="8" t="str">
        <x:v>0603</x:v>
      </x:c>
      <x:c r="G29" s="2" t="str">
        <x:v>SURFACE_MOUNT</x:v>
      </x:c>
      <x:c r="H29" s="2" t="str">
        <x:v>SELECTED_CATALOG_ITEM</x:v>
      </x:c>
      <x:c r="I29" s="2" t="str">
        <x:v>Не выпущено</x:v>
      </x:c>
      <x:c r="J29" s="31" t="str">
        <x:v>capacitance_pf: 100000; rated_voltage_v: 50; dielectric: X7R; tolerance_pct: 10; temperature_min_c: -55; temperature_max_c: 125</x:v>
      </x:c>
      <x:c r="K29" s="31" t="str">
        <x:v>https://search.kemet.com/download/specsheet/C0603C104K5RACTU</x:v>
      </x:c>
      <x:c r="L29" s="31" t="str"/>
    </x:row>
    <x:row r="30" ht="38" customHeight="1">
      <x:c r="A30" s="12" t="str">
        <x:v>C127</x:v>
      </x:c>
      <x:c r="B30" s="12" t="str">
        <x:v>100n 16V X7R</x:v>
      </x:c>
      <x:c r="C30" s="12" t="str">
        <x:v>Да</x:v>
      </x:c>
      <x:c r="D30" s="11" t="str">
        <x:v>C0603C104K5RACTU</x:v>
      </x:c>
      <x:c r="E30" s="12" t="str">
        <x:v>KEMET</x:v>
      </x:c>
      <x:c r="F30" s="11" t="str">
        <x:v>0603</x:v>
      </x:c>
      <x:c r="G30" s="12" t="str">
        <x:v>SURFACE_MOUNT</x:v>
      </x:c>
      <x:c r="H30" s="12" t="str">
        <x:v>SELECTED_CATALOG_ITEM</x:v>
      </x:c>
      <x:c r="I30" s="12" t="str">
        <x:v>Не выпущено</x:v>
      </x:c>
      <x:c r="J30" s="33" t="str">
        <x:v>capacitance_pf: 100000; rated_voltage_v: 50; dielectric: X7R; tolerance_pct: 10; temperature_min_c: -55; temperature_max_c: 125</x:v>
      </x:c>
      <x:c r="K30" s="33" t="str">
        <x:v>https://search.kemet.com/download/specsheet/C0603C104K5RACTU</x:v>
      </x:c>
      <x:c r="L30" s="33" t="str"/>
    </x:row>
    <x:row r="31" ht="38" customHeight="1">
      <x:c r="A31" s="2" t="str">
        <x:v>C128</x:v>
      </x:c>
      <x:c r="B31" s="2" t="str">
        <x:v>100n 16V X7R</x:v>
      </x:c>
      <x:c r="C31" s="2" t="str">
        <x:v>Да</x:v>
      </x:c>
      <x:c r="D31" s="8" t="str">
        <x:v>C0603C104K5RACTU</x:v>
      </x:c>
      <x:c r="E31" s="2" t="str">
        <x:v>KEMET</x:v>
      </x:c>
      <x:c r="F31" s="8" t="str">
        <x:v>0603</x:v>
      </x:c>
      <x:c r="G31" s="2" t="str">
        <x:v>SURFACE_MOUNT</x:v>
      </x:c>
      <x:c r="H31" s="2" t="str">
        <x:v>SELECTED_CATALOG_ITEM</x:v>
      </x:c>
      <x:c r="I31" s="2" t="str">
        <x:v>Не выпущено</x:v>
      </x:c>
      <x:c r="J31" s="31" t="str">
        <x:v>capacitance_pf: 100000; rated_voltage_v: 50; dielectric: X7R; tolerance_pct: 10; temperature_min_c: -55; temperature_max_c: 125</x:v>
      </x:c>
      <x:c r="K31" s="31" t="str">
        <x:v>https://search.kemet.com/download/specsheet/C0603C104K5RACTU</x:v>
      </x:c>
      <x:c r="L31" s="31" t="str"/>
    </x:row>
    <x:row r="32" ht="38" customHeight="1">
      <x:c r="A32" s="12" t="str">
        <x:v>C129</x:v>
      </x:c>
      <x:c r="B32" s="12" t="str">
        <x:v>10n 16V X7R</x:v>
      </x:c>
      <x:c r="C32" s="12" t="str">
        <x:v>Да</x:v>
      </x:c>
      <x:c r="D32" s="11" t="str">
        <x:v>C0603C103K5RACTU</x:v>
      </x:c>
      <x:c r="E32" s="12" t="str">
        <x:v>KEMET</x:v>
      </x:c>
      <x:c r="F32" s="11" t="str">
        <x:v>0603</x:v>
      </x:c>
      <x:c r="G32" s="12" t="str">
        <x:v>SURFACE_MOUNT</x:v>
      </x:c>
      <x:c r="H32" s="12" t="str">
        <x:v>SELECTED_CATALOG_ITEM</x:v>
      </x:c>
      <x:c r="I32" s="12" t="str">
        <x:v>Не выпущено</x:v>
      </x:c>
      <x:c r="J32" s="33" t="str">
        <x:v>capacitance_pf: 10000; rated_voltage_v: 50; dielectric: X7R; tolerance_pct: 10; temperature_min_c: -55; temperature_max_c: 125</x:v>
      </x:c>
      <x:c r="K32" s="33" t="str">
        <x:v>https://www.digikey.com/en/products/detail/kemet/C0603C103K5RACTU/411090</x:v>
      </x:c>
      <x:c r="L32" s="33" t="str"/>
    </x:row>
    <x:row r="33" ht="38" customHeight="1">
      <x:c r="A33" s="2" t="str">
        <x:v>C130</x:v>
      </x:c>
      <x:c r="B33" s="2" t="str">
        <x:v>100n 50V X7R</x:v>
      </x:c>
      <x:c r="C33" s="2" t="str">
        <x:v>Да</x:v>
      </x:c>
      <x:c r="D33" s="8" t="str">
        <x:v>C0603C104K5RACTU</x:v>
      </x:c>
      <x:c r="E33" s="2" t="str">
        <x:v>KEMET</x:v>
      </x:c>
      <x:c r="F33" s="8" t="str">
        <x:v>0603</x:v>
      </x:c>
      <x:c r="G33" s="2" t="str">
        <x:v>SURFACE_MOUNT</x:v>
      </x:c>
      <x:c r="H33" s="2" t="str">
        <x:v>SELECTED_CATALOG_ITEM</x:v>
      </x:c>
      <x:c r="I33" s="2" t="str">
        <x:v>Не выпущено</x:v>
      </x:c>
      <x:c r="J33" s="31" t="str">
        <x:v>capacitance_pf: 100000; rated_voltage_v: 50; dielectric: X7R; tolerance_pct: 10; temperature_min_c: -55; temperature_max_c: 125</x:v>
      </x:c>
      <x:c r="K33" s="31" t="str">
        <x:v>https://search.kemet.com/download/specsheet/C0603C104K5RACTU</x:v>
      </x:c>
      <x:c r="L33" s="31" t="str"/>
    </x:row>
    <x:row r="34" ht="38" customHeight="1">
      <x:c r="A34" s="12" t="str">
        <x:v>C131</x:v>
      </x:c>
      <x:c r="B34" s="12" t="str">
        <x:v>1u 50V X7R</x:v>
      </x:c>
      <x:c r="C34" s="12" t="str">
        <x:v>Да</x:v>
      </x:c>
      <x:c r="D34" s="11" t="str">
        <x:v>C0805C105K5RACTU</x:v>
      </x:c>
      <x:c r="E34" s="12" t="str">
        <x:v>KEMET</x:v>
      </x:c>
      <x:c r="F34" s="11" t="str">
        <x:v>0805</x:v>
      </x:c>
      <x:c r="G34" s="12" t="str">
        <x:v>SURFACE_MOUNT</x:v>
      </x:c>
      <x:c r="H34" s="12" t="str">
        <x:v>SELECTED_CATALOG_ITEM</x:v>
      </x:c>
      <x:c r="I34" s="12" t="str">
        <x:v>Не выпущено</x:v>
      </x:c>
      <x:c r="J34" s="33" t="str">
        <x:v>capacitance_pf: 1000000; rated_voltage_v: 50; dielectric: X7R; tolerance_pct: 10; temperature_min_c: -55; temperature_max_c: 125; effective_capacitance_min_pf: None; dc_bias_qualification: PENDING_AT_ACTUAL_NODE_VOLTAGE</x:v>
      </x:c>
      <x:c r="K34" s="33" t="str">
        <x:v>https://search.kemet.com/component-documentation/download/specsheet/C0805C105K5RACTU</x:v>
      </x:c>
      <x:c r="L34" s="33" t="str"/>
    </x:row>
    <x:row r="35" ht="38" customHeight="1">
      <x:c r="A35" s="2" t="str">
        <x:v>C132</x:v>
      </x:c>
      <x:c r="B35" s="2" t="str">
        <x:v>1n 100V C0G</x:v>
      </x:c>
      <x:c r="C35" s="2" t="str">
        <x:v>Да</x:v>
      </x:c>
      <x:c r="D35" s="8" t="str">
        <x:v>C0603C102J1GACTU</x:v>
      </x:c>
      <x:c r="E35" s="2" t="str">
        <x:v>KEMET</x:v>
      </x:c>
      <x:c r="F35" s="8" t="str">
        <x:v>0603</x:v>
      </x:c>
      <x:c r="G35" s="2" t="str">
        <x:v>SURFACE_MOUNT</x:v>
      </x:c>
      <x:c r="H35" s="2" t="str">
        <x:v>SELECTED_CATALOG_ITEM</x:v>
      </x:c>
      <x:c r="I35" s="2" t="str">
        <x:v>Не выпущено</x:v>
      </x:c>
      <x:c r="J35" s="31" t="str">
        <x:v>capacitance_pf: 1000; rated_voltage_v: 100; dielectric: C0G; tolerance_pct: 5; temperature_min_c: -55; temperature_max_c: 125</x:v>
      </x:c>
      <x:c r="K35" s="31" t="str">
        <x:v>https://search.kemet.com/download/specsheet/C0603C102J1GACTU</x:v>
      </x:c>
      <x:c r="L35" s="31" t="str"/>
    </x:row>
    <x:row r="36" ht="38" customHeight="1">
      <x:c r="A36" s="12" t="str">
        <x:v>C201</x:v>
      </x:c>
      <x:c r="B36" s="12" t="str">
        <x:v>1u</x:v>
      </x:c>
      <x:c r="C36" s="12" t="str">
        <x:v>Да</x:v>
      </x:c>
      <x:c r="D36" s="11" t="str">
        <x:v>C0603C105K3RACTU</x:v>
      </x:c>
      <x:c r="E36" s="12" t="str">
        <x:v>KEMET</x:v>
      </x:c>
      <x:c r="F36" s="11" t="str">
        <x:v>0603</x:v>
      </x:c>
      <x:c r="G36" s="12" t="str">
        <x:v>SURFACE_MOUNT</x:v>
      </x:c>
      <x:c r="H36" s="12" t="str">
        <x:v>SELECTED_CATALOG_ITEM</x:v>
      </x:c>
      <x:c r="I36" s="12" t="str">
        <x:v>Не выпущено</x:v>
      </x:c>
      <x:c r="J36" s="33" t="str">
        <x:v>capacitance_pf: 1000000; rated_voltage_v: 25; dielectric: X7R; tolerance_pct: 10; temperature_min_c: -55; temperature_max_c: 125; effective_capacitance_min_pf: None; dc_bias_qualification: PENDING_AT_ACTUAL_NODE_VOLTAGE</x:v>
      </x:c>
      <x:c r="K36" s="33" t="str">
        <x:v>https://search.kemet.com/download/specsheet/C0603C105K3RACTU</x:v>
      </x:c>
      <x:c r="L36" s="33" t="str"/>
    </x:row>
    <x:row r="37" ht="38" customHeight="1">
      <x:c r="A37" s="2" t="str">
        <x:v>C202</x:v>
      </x:c>
      <x:c r="B37" s="2" t="str">
        <x:v>330p</x:v>
      </x:c>
      <x:c r="C37" s="2" t="str">
        <x:v>Да</x:v>
      </x:c>
      <x:c r="D37" s="8" t="str">
        <x:v>C0603C331J1GACTU</x:v>
      </x:c>
      <x:c r="E37" s="2" t="str">
        <x:v>KEMET</x:v>
      </x:c>
      <x:c r="F37" s="8" t="str">
        <x:v>0603</x:v>
      </x:c>
      <x:c r="G37" s="2" t="str">
        <x:v>SURFACE_MOUNT</x:v>
      </x:c>
      <x:c r="H37" s="2" t="str">
        <x:v>SELECTED_CATALOG_ITEM</x:v>
      </x:c>
      <x:c r="I37" s="2" t="str">
        <x:v>Не выпущено</x:v>
      </x:c>
      <x:c r="J37" s="31" t="str">
        <x:v>capacitance_pf: 330; rated_voltage_v: 100; dielectric: C0G; tolerance_pct: 5; temperature_min_c: -55; temperature_max_c: 125</x:v>
      </x:c>
      <x:c r="K37" s="31" t="str">
        <x:v>https://search.kemet.com/download/specsheet/C0603C331J1GACTU</x:v>
      </x:c>
      <x:c r="L37" s="31" t="str"/>
    </x:row>
    <x:row r="38" ht="38" customHeight="1">
      <x:c r="A38" s="12" t="str">
        <x:v>C203</x:v>
      </x:c>
      <x:c r="B38" s="12" t="str">
        <x:v>330p</x:v>
      </x:c>
      <x:c r="C38" s="12" t="str">
        <x:v>Да</x:v>
      </x:c>
      <x:c r="D38" s="11" t="str">
        <x:v>C0603C331J1GACTU</x:v>
      </x:c>
      <x:c r="E38" s="12" t="str">
        <x:v>KEMET</x:v>
      </x:c>
      <x:c r="F38" s="11" t="str">
        <x:v>0603</x:v>
      </x:c>
      <x:c r="G38" s="12" t="str">
        <x:v>SURFACE_MOUNT</x:v>
      </x:c>
      <x:c r="H38" s="12" t="str">
        <x:v>SELECTED_CATALOG_ITEM</x:v>
      </x:c>
      <x:c r="I38" s="12" t="str">
        <x:v>Не выпущено</x:v>
      </x:c>
      <x:c r="J38" s="33" t="str">
        <x:v>capacitance_pf: 330; rated_voltage_v: 100; dielectric: C0G; tolerance_pct: 5; temperature_min_c: -55; temperature_max_c: 125</x:v>
      </x:c>
      <x:c r="K38" s="33" t="str">
        <x:v>https://search.kemet.com/download/specsheet/C0603C331J1GACTU</x:v>
      </x:c>
      <x:c r="L38" s="33" t="str"/>
    </x:row>
    <x:row r="39" ht="38" customHeight="1">
      <x:c r="A39" s="2" t="str">
        <x:v>C204</x:v>
      </x:c>
      <x:c r="B39" s="2" t="str">
        <x:v>330p</x:v>
      </x:c>
      <x:c r="C39" s="2" t="str">
        <x:v>Да</x:v>
      </x:c>
      <x:c r="D39" s="8" t="str">
        <x:v>C0603C331J1GACTU</x:v>
      </x:c>
      <x:c r="E39" s="2" t="str">
        <x:v>KEMET</x:v>
      </x:c>
      <x:c r="F39" s="8" t="str">
        <x:v>0603</x:v>
      </x:c>
      <x:c r="G39" s="2" t="str">
        <x:v>SURFACE_MOUNT</x:v>
      </x:c>
      <x:c r="H39" s="2" t="str">
        <x:v>SELECTED_CATALOG_ITEM</x:v>
      </x:c>
      <x:c r="I39" s="2" t="str">
        <x:v>Не выпущено</x:v>
      </x:c>
      <x:c r="J39" s="31" t="str">
        <x:v>capacitance_pf: 330; rated_voltage_v: 100; dielectric: C0G; tolerance_pct: 5; temperature_min_c: -55; temperature_max_c: 125</x:v>
      </x:c>
      <x:c r="K39" s="31" t="str">
        <x:v>https://search.kemet.com/download/specsheet/C0603C331J1GACTU</x:v>
      </x:c>
      <x:c r="L39" s="31" t="str"/>
    </x:row>
    <x:row r="40" ht="38" customHeight="1">
      <x:c r="A40" s="12" t="str">
        <x:v>C205</x:v>
      </x:c>
      <x:c r="B40" s="12" t="str">
        <x:v>1300uF 50V</x:v>
      </x:c>
      <x:c r="C40" s="12" t="str">
        <x:v>Да</x:v>
      </x:c>
      <x:c r="D40" s="11" t="str">
        <x:v>UBY1H132MHL6</x:v>
      </x:c>
      <x:c r="E40" s="12" t="str">
        <x:v>Nichicon</x:v>
      </x:c>
      <x:c r="F40" s="11" t="str">
        <x:v>Radial_D16_H25_P7.5</x:v>
      </x:c>
      <x:c r="G40" s="12" t="str">
        <x:v>THROUGH_HOLE</x:v>
      </x:c>
      <x:c r="H40" s="12" t="str">
        <x:v>SELECTED_CONDITIONAL</x:v>
      </x:c>
      <x:c r="I40" s="12" t="str">
        <x:v>Не выпущено</x:v>
      </x:c>
      <x:c r="J40" s="33" t="str">
        <x:v>capacitance_pf: 1300000000; rated_voltage_v: 50; tolerance_pct: 20; temperature_min_c: -40; temperature_max_c: 135; diameter_mm: 16; body_height_mm: 25; lead_pitch_mm: 7.5; esr_max_mohm_20c: 33; esr_max_mohm_minus40c: 220; ripple_a_100khz_125c: 4.04; ripple_a_100khz_135c: 2.5</x:v>
      </x:c>
      <x:c r="K40" s="33" t="str">
        <x:v>https://www.nichicon.com/getmedia/640b351d-ceef-400c-b016-39f8657ea779/e-uby-DB.pdf</x:v>
      </x:c>
      <x:c r="L40" s="33" t="str">
        <x:v>1300uF replaces1200uF input bulk; +8.3% capacitance/inrush requires recheck. This is not the65V boost capacitor.</x:v>
      </x:c>
    </x:row>
    <x:row r="41" ht="38" customHeight="1">
      <x:c r="A41" s="2" t="str">
        <x:v>C206</x:v>
      </x:c>
      <x:c r="B41" s="2" t="str">
        <x:v>1300uF 50V</x:v>
      </x:c>
      <x:c r="C41" s="2" t="str">
        <x:v>Да</x:v>
      </x:c>
      <x:c r="D41" s="8" t="str">
        <x:v>UBY1H132MHL6</x:v>
      </x:c>
      <x:c r="E41" s="2" t="str">
        <x:v>Nichicon</x:v>
      </x:c>
      <x:c r="F41" s="8" t="str">
        <x:v>Radial_D16_H25_P7.5</x:v>
      </x:c>
      <x:c r="G41" s="2" t="str">
        <x:v>THROUGH_HOLE</x:v>
      </x:c>
      <x:c r="H41" s="2" t="str">
        <x:v>SELECTED_CONDITIONAL</x:v>
      </x:c>
      <x:c r="I41" s="2" t="str">
        <x:v>Не выпущено</x:v>
      </x:c>
      <x:c r="J41" s="31" t="str">
        <x:v>capacitance_pf: 1300000000; rated_voltage_v: 50; tolerance_pct: 20; temperature_min_c: -40; temperature_max_c: 135; diameter_mm: 16; body_height_mm: 25; lead_pitch_mm: 7.5; esr_max_mohm_20c: 33; esr_max_mohm_minus40c: 220; ripple_a_100khz_125c: 4.04; ripple_a_100khz_135c: 2.5</x:v>
      </x:c>
      <x:c r="K41" s="31" t="str">
        <x:v>https://www.nichicon.com/getmedia/640b351d-ceef-400c-b016-39f8657ea779/e-uby-DB.pdf</x:v>
      </x:c>
      <x:c r="L41" s="31" t="str">
        <x:v>1300uF replaces1200uF input bulk; +8.3% capacitance/inrush requires recheck. This is not the65V boost capacitor.</x:v>
      </x:c>
    </x:row>
    <x:row r="42" ht="38" customHeight="1">
      <x:c r="A42" s="12" t="str">
        <x:v>C207</x:v>
      </x:c>
      <x:c r="B42" s="12" t="str">
        <x:v>470uF</x:v>
      </x:c>
      <x:c r="C42" s="12" t="str">
        <x:v>Да</x:v>
      </x:c>
      <x:c r="D42" s="11" t="str">
        <x:v>UBY1K471MHL</x:v>
      </x:c>
      <x:c r="E42" s="12" t="str">
        <x:v>Nichicon</x:v>
      </x:c>
      <x:c r="F42" s="11" t="str">
        <x:v>Radial_D16_H20_P7.5</x:v>
      </x:c>
      <x:c r="G42" s="12" t="str">
        <x:v>THROUGH_HOLE</x:v>
      </x:c>
      <x:c r="H42" s="12" t="str">
        <x:v>SELECTED_CONDITIONAL</x:v>
      </x:c>
      <x:c r="I42" s="12" t="str">
        <x:v>Не выпущено</x:v>
      </x:c>
      <x:c r="J42" s="33" t="str">
        <x:v>capacitance_pf: 470000000; rated_voltage_v: 80; tolerance_pct: 20; temperature_min_c: -40; temperature_max_c: 135; diameter_mm: 16; body_height_mm: 20; lead_pitch_mm: 7.5; esr_max_mohm_20c: 53; esr_max_mohm_minus40c: 340; ripple_a_100khz_125c: 2.14; ripple_a_100khz_135c: 1.91</x:v>
      </x:c>
      <x:c r="K42" s="33" t="str">
        <x:v>https://www.nichicon.com/getmedia/640b351d-ceef-400c-b016-39f8657ea779/e-uby-DB.pdf; https://www.lcsc.com/product-detail/C5110766.html</x:v>
      </x:c>
      <x:c r="L42" s="33" t="str">
        <x:v>80V rating on nominal65V boost requires measured overshoot and ripple/temperature qualification. Fits source16x25 envelope with shorter20mm body.</x:v>
      </x:c>
    </x:row>
    <x:row r="43" ht="38" customHeight="1">
      <x:c r="A43" s="2" t="str">
        <x:v>C208</x:v>
      </x:c>
      <x:c r="B43" s="2" t="str">
        <x:v>0.22uF</x:v>
      </x:c>
      <x:c r="C43" s="2" t="str">
        <x:v>Да</x:v>
      </x:c>
      <x:c r="D43" s="8" t="str">
        <x:v>C0805C224K1RACTU</x:v>
      </x:c>
      <x:c r="E43" s="2" t="str">
        <x:v>KEMET</x:v>
      </x:c>
      <x:c r="F43" s="8" t="str">
        <x:v>0805</x:v>
      </x:c>
      <x:c r="G43" s="2" t="str">
        <x:v>SURFACE_MOUNT</x:v>
      </x:c>
      <x:c r="H43" s="2" t="str">
        <x:v>SELECTED_CATALOG_ITEM</x:v>
      </x:c>
      <x:c r="I43" s="2" t="str">
        <x:v>Не выпущено</x:v>
      </x:c>
      <x:c r="J43" s="31" t="str">
        <x:v>capacitance_pf: 220000; rated_voltage_v: 100; dielectric: X7R; tolerance_pct: 10; temperature_min_c: -55; temperature_max_c: 125</x:v>
      </x:c>
      <x:c r="K43" s="31" t="str">
        <x:v>https://content.kemet.com/datasheets/CER_ENG_KIT_30.pdf</x:v>
      </x:c>
      <x:c r="L43" s="31" t="str"/>
    </x:row>
    <x:row r="44" ht="38" customHeight="1">
      <x:c r="A44" s="12" t="str">
        <x:v>C209</x:v>
      </x:c>
      <x:c r="B44" s="12" t="str">
        <x:v>470uF</x:v>
      </x:c>
      <x:c r="C44" s="12" t="str">
        <x:v>Да</x:v>
      </x:c>
      <x:c r="D44" s="11" t="str">
        <x:v>UBY1K471MHL</x:v>
      </x:c>
      <x:c r="E44" s="12" t="str">
        <x:v>Nichicon</x:v>
      </x:c>
      <x:c r="F44" s="11" t="str">
        <x:v>Radial_D16_H20_P7.5</x:v>
      </x:c>
      <x:c r="G44" s="12" t="str">
        <x:v>THROUGH_HOLE</x:v>
      </x:c>
      <x:c r="H44" s="12" t="str">
        <x:v>SELECTED_CONDITIONAL</x:v>
      </x:c>
      <x:c r="I44" s="12" t="str">
        <x:v>Не выпущено</x:v>
      </x:c>
      <x:c r="J44" s="33" t="str">
        <x:v>capacitance_pf: 470000000; rated_voltage_v: 80; tolerance_pct: 20; temperature_min_c: -40; temperature_max_c: 135; diameter_mm: 16; body_height_mm: 20; lead_pitch_mm: 7.5; esr_max_mohm_20c: 53; esr_max_mohm_minus40c: 340; ripple_a_100khz_125c: 2.14; ripple_a_100khz_135c: 1.91</x:v>
      </x:c>
      <x:c r="K44" s="33" t="str">
        <x:v>https://www.nichicon.com/getmedia/640b351d-ceef-400c-b016-39f8657ea779/e-uby-DB.pdf; https://www.lcsc.com/product-detail/C5110766.html</x:v>
      </x:c>
      <x:c r="L44" s="33" t="str">
        <x:v>80V rating on nominal65V boost requires measured overshoot and ripple/temperature qualification. Fits source16x25 envelope with shorter20mm body.</x:v>
      </x:c>
    </x:row>
    <x:row r="45" ht="38" customHeight="1">
      <x:c r="A45" s="2" t="str">
        <x:v>C210</x:v>
      </x:c>
      <x:c r="B45" s="2" t="str">
        <x:v>100n</x:v>
      </x:c>
      <x:c r="C45" s="2" t="str">
        <x:v>Да</x:v>
      </x:c>
      <x:c r="D45" s="8" t="str">
        <x:v>C0603C104K5RACTU</x:v>
      </x:c>
      <x:c r="E45" s="2" t="str">
        <x:v>KEMET</x:v>
      </x:c>
      <x:c r="F45" s="8" t="str">
        <x:v>0603</x:v>
      </x:c>
      <x:c r="G45" s="2" t="str">
        <x:v>SURFACE_MOUNT</x:v>
      </x:c>
      <x:c r="H45" s="2" t="str">
        <x:v>SELECTED_CATALOG_ITEM</x:v>
      </x:c>
      <x:c r="I45" s="2" t="str">
        <x:v>Не выпущено</x:v>
      </x:c>
      <x:c r="J45" s="31" t="str">
        <x:v>capacitance_pf: 100000; rated_voltage_v: 50; dielectric: X7R; tolerance_pct: 10; temperature_min_c: -55; temperature_max_c: 125</x:v>
      </x:c>
      <x:c r="K45" s="31" t="str">
        <x:v>https://search.kemet.com/download/specsheet/C0603C104K5RACTU</x:v>
      </x:c>
      <x:c r="L45" s="31" t="str"/>
    </x:row>
    <x:row r="46" ht="38" customHeight="1">
      <x:c r="A46" s="12" t="str">
        <x:v>C211</x:v>
      </x:c>
      <x:c r="B46" s="12" t="str">
        <x:v>330p</x:v>
      </x:c>
      <x:c r="C46" s="12" t="str">
        <x:v>Да</x:v>
      </x:c>
      <x:c r="D46" s="11" t="str">
        <x:v>C0603C331J1GACTU</x:v>
      </x:c>
      <x:c r="E46" s="12" t="str">
        <x:v>KEMET</x:v>
      </x:c>
      <x:c r="F46" s="11" t="str">
        <x:v>0603</x:v>
      </x:c>
      <x:c r="G46" s="12" t="str">
        <x:v>SURFACE_MOUNT</x:v>
      </x:c>
      <x:c r="H46" s="12" t="str">
        <x:v>SELECTED_CATALOG_ITEM</x:v>
      </x:c>
      <x:c r="I46" s="12" t="str">
        <x:v>Не выпущено</x:v>
      </x:c>
      <x:c r="J46" s="33" t="str">
        <x:v>capacitance_pf: 330; rated_voltage_v: 100; dielectric: C0G; tolerance_pct: 5; temperature_min_c: -55; temperature_max_c: 125</x:v>
      </x:c>
      <x:c r="K46" s="33" t="str">
        <x:v>https://search.kemet.com/download/specsheet/C0603C331J1GACTU</x:v>
      </x:c>
      <x:c r="L46" s="33" t="str"/>
    </x:row>
    <x:row r="47" ht="38" customHeight="1">
      <x:c r="A47" s="2" t="str">
        <x:v>C212</x:v>
      </x:c>
      <x:c r="B47" s="2" t="str">
        <x:v>4.7u</x:v>
      </x:c>
      <x:c r="C47" s="2" t="str">
        <x:v>Да</x:v>
      </x:c>
      <x:c r="D47" s="8" t="str">
        <x:v>GMC10X7R475K16NT</x:v>
      </x:c>
      <x:c r="E47" s="2" t="str">
        <x:v>Cal-Chip Electronics</x:v>
      </x:c>
      <x:c r="F47" s="8" t="str">
        <x:v>0603</x:v>
      </x:c>
      <x:c r="G47" s="2" t="str">
        <x:v>SURFACE_MOUNT</x:v>
      </x:c>
      <x:c r="H47" s="2" t="str">
        <x:v>SELECTED_CATALOG_ITEM</x:v>
      </x:c>
      <x:c r="I47" s="2" t="str">
        <x:v>Не выпущено</x:v>
      </x:c>
      <x:c r="J47" s="31" t="str">
        <x:v>capacitance_pf: 4700000; rated_voltage_v: 16; dielectric: X7R; tolerance_pct: 10; temperature_min_c: -55; temperature_max_c: 125; effective_capacitance_min_pf: None; dc_bias_qualification: PENDING_AT_ACTUAL_NODE_VOLTAGE</x:v>
      </x:c>
      <x:c r="K47" s="31" t="str">
        <x:v>https://www.digikey.com/en/products/detail/cal-chip-electronics-inc/GMC10X7R475K16NT/22471820</x:v>
      </x:c>
      <x:c r="L47" s="31" t="str"/>
    </x:row>
    <x:row r="48" ht="38" customHeight="1">
      <x:c r="A48" s="12" t="str">
        <x:v>C213</x:v>
      </x:c>
      <x:c r="B48" s="12" t="str">
        <x:v>100n</x:v>
      </x:c>
      <x:c r="C48" s="12" t="str">
        <x:v>Да</x:v>
      </x:c>
      <x:c r="D48" s="11" t="str">
        <x:v>C0603C104K5RACTU</x:v>
      </x:c>
      <x:c r="E48" s="12" t="str">
        <x:v>KEMET</x:v>
      </x:c>
      <x:c r="F48" s="11" t="str">
        <x:v>0603</x:v>
      </x:c>
      <x:c r="G48" s="12" t="str">
        <x:v>SURFACE_MOUNT</x:v>
      </x:c>
      <x:c r="H48" s="12" t="str">
        <x:v>SELECTED_CATALOG_ITEM</x:v>
      </x:c>
      <x:c r="I48" s="12" t="str">
        <x:v>Не выпущено</x:v>
      </x:c>
      <x:c r="J48" s="33" t="str">
        <x:v>capacitance_pf: 100000; rated_voltage_v: 50; dielectric: X7R; tolerance_pct: 10; temperature_min_c: -55; temperature_max_c: 125</x:v>
      </x:c>
      <x:c r="K48" s="33" t="str">
        <x:v>https://search.kemet.com/download/specsheet/C0603C104K5RACTU</x:v>
      </x:c>
      <x:c r="L48" s="33" t="str"/>
    </x:row>
    <x:row r="49" ht="38" customHeight="1">
      <x:c r="A49" s="2" t="str">
        <x:v>C214</x:v>
      </x:c>
      <x:c r="B49" s="2" t="str">
        <x:v>100n</x:v>
      </x:c>
      <x:c r="C49" s="2" t="str">
        <x:v>Да</x:v>
      </x:c>
      <x:c r="D49" s="8" t="str">
        <x:v>C0603C104K5RACTU</x:v>
      </x:c>
      <x:c r="E49" s="2" t="str">
        <x:v>KEMET</x:v>
      </x:c>
      <x:c r="F49" s="8" t="str">
        <x:v>0603</x:v>
      </x:c>
      <x:c r="G49" s="2" t="str">
        <x:v>SURFACE_MOUNT</x:v>
      </x:c>
      <x:c r="H49" s="2" t="str">
        <x:v>SELECTED_CATALOG_ITEM</x:v>
      </x:c>
      <x:c r="I49" s="2" t="str">
        <x:v>Не выпущено</x:v>
      </x:c>
      <x:c r="J49" s="31" t="str">
        <x:v>capacitance_pf: 100000; rated_voltage_v: 50; dielectric: X7R; tolerance_pct: 10; temperature_min_c: -55; temperature_max_c: 125</x:v>
      </x:c>
      <x:c r="K49" s="31" t="str">
        <x:v>https://search.kemet.com/download/specsheet/C0603C104K5RACTU</x:v>
      </x:c>
      <x:c r="L49" s="31" t="str"/>
    </x:row>
    <x:row r="50" ht="38" customHeight="1">
      <x:c r="A50" s="12" t="str">
        <x:v>C215</x:v>
      </x:c>
      <x:c r="B50" s="12" t="str">
        <x:v>100n</x:v>
      </x:c>
      <x:c r="C50" s="12" t="str">
        <x:v>Да</x:v>
      </x:c>
      <x:c r="D50" s="11" t="str">
        <x:v>C0603C104K5RACTU</x:v>
      </x:c>
      <x:c r="E50" s="12" t="str">
        <x:v>KEMET</x:v>
      </x:c>
      <x:c r="F50" s="11" t="str">
        <x:v>0603</x:v>
      </x:c>
      <x:c r="G50" s="12" t="str">
        <x:v>SURFACE_MOUNT</x:v>
      </x:c>
      <x:c r="H50" s="12" t="str">
        <x:v>SELECTED_CATALOG_ITEM</x:v>
      </x:c>
      <x:c r="I50" s="12" t="str">
        <x:v>Не выпущено</x:v>
      </x:c>
      <x:c r="J50" s="33" t="str">
        <x:v>capacitance_pf: 100000; rated_voltage_v: 50; dielectric: X7R; tolerance_pct: 10; temperature_min_c: -55; temperature_max_c: 125</x:v>
      </x:c>
      <x:c r="K50" s="33" t="str">
        <x:v>https://search.kemet.com/download/specsheet/C0603C104K5RACTU</x:v>
      </x:c>
      <x:c r="L50" s="33" t="str"/>
    </x:row>
    <x:row r="51" ht="38" customHeight="1">
      <x:c r="A51" s="2" t="str">
        <x:v>C216</x:v>
      </x:c>
      <x:c r="B51" s="2" t="str">
        <x:v>0.33uF</x:v>
      </x:c>
      <x:c r="C51" s="2" t="str">
        <x:v>Да</x:v>
      </x:c>
      <x:c r="D51" s="8" t="str">
        <x:v>0603B334K250NT</x:v>
      </x:c>
      <x:c r="E51" s="2" t="str">
        <x:v>FH</x:v>
      </x:c>
      <x:c r="F51" s="8" t="str">
        <x:v>0603</x:v>
      </x:c>
      <x:c r="G51" s="2" t="str">
        <x:v>SURFACE_MOUNT</x:v>
      </x:c>
      <x:c r="H51" s="2" t="str">
        <x:v>SELECTED_CATALOG_ITEM</x:v>
      </x:c>
      <x:c r="I51" s="2" t="str">
        <x:v>Не выпущено</x:v>
      </x:c>
      <x:c r="J51" s="31" t="str">
        <x:v>capacitance_pf: 330000; rated_voltage_v: 25; dielectric: X7R; tolerance_pct: 10; temperature_min_c: -55; temperature_max_c: 125</x:v>
      </x:c>
      <x:c r="K51" s="31" t="str">
        <x:v>https://www.lcsc.com/product-detail/C1615.html</x:v>
      </x:c>
      <x:c r="L51" s="31" t="str"/>
    </x:row>
    <x:row r="52" ht="38" customHeight="1">
      <x:c r="A52" s="12" t="str">
        <x:v>C217</x:v>
      </x:c>
      <x:c r="B52" s="12" t="str">
        <x:v>0.33uF</x:v>
      </x:c>
      <x:c r="C52" s="12" t="str">
        <x:v>Да</x:v>
      </x:c>
      <x:c r="D52" s="11" t="str">
        <x:v>0603B334K250NT</x:v>
      </x:c>
      <x:c r="E52" s="12" t="str">
        <x:v>FH</x:v>
      </x:c>
      <x:c r="F52" s="11" t="str">
        <x:v>0603</x:v>
      </x:c>
      <x:c r="G52" s="12" t="str">
        <x:v>SURFACE_MOUNT</x:v>
      </x:c>
      <x:c r="H52" s="12" t="str">
        <x:v>SELECTED_CATALOG_ITEM</x:v>
      </x:c>
      <x:c r="I52" s="12" t="str">
        <x:v>Не выпущено</x:v>
      </x:c>
      <x:c r="J52" s="33" t="str">
        <x:v>capacitance_pf: 330000; rated_voltage_v: 25; dielectric: X7R; tolerance_pct: 10; temperature_min_c: -55; temperature_max_c: 125</x:v>
      </x:c>
      <x:c r="K52" s="33" t="str">
        <x:v>https://www.lcsc.com/product-detail/C1615.html</x:v>
      </x:c>
      <x:c r="L52" s="33" t="str"/>
    </x:row>
    <x:row r="53" ht="38" customHeight="1">
      <x:c r="A53" s="2" t="str">
        <x:v>C218</x:v>
      </x:c>
      <x:c r="B53" s="2" t="str">
        <x:v>0.33uF</x:v>
      </x:c>
      <x:c r="C53" s="2" t="str">
        <x:v>Да</x:v>
      </x:c>
      <x:c r="D53" s="8" t="str">
        <x:v>0603B334K250NT</x:v>
      </x:c>
      <x:c r="E53" s="2" t="str">
        <x:v>FH</x:v>
      </x:c>
      <x:c r="F53" s="8" t="str">
        <x:v>0603</x:v>
      </x:c>
      <x:c r="G53" s="2" t="str">
        <x:v>SURFACE_MOUNT</x:v>
      </x:c>
      <x:c r="H53" s="2" t="str">
        <x:v>SELECTED_CATALOG_ITEM</x:v>
      </x:c>
      <x:c r="I53" s="2" t="str">
        <x:v>Не выпущено</x:v>
      </x:c>
      <x:c r="J53" s="31" t="str">
        <x:v>capacitance_pf: 330000; rated_voltage_v: 25; dielectric: X7R; tolerance_pct: 10; temperature_min_c: -55; temperature_max_c: 125</x:v>
      </x:c>
      <x:c r="K53" s="31" t="str">
        <x:v>https://www.lcsc.com/product-detail/C1615.html</x:v>
      </x:c>
      <x:c r="L53" s="31" t="str"/>
    </x:row>
    <x:row r="54" ht="38" customHeight="1">
      <x:c r="A54" s="12" t="str">
        <x:v>C219</x:v>
      </x:c>
      <x:c r="B54" s="12" t="str">
        <x:v>0.33uF</x:v>
      </x:c>
      <x:c r="C54" s="12" t="str">
        <x:v>Да</x:v>
      </x:c>
      <x:c r="D54" s="11" t="str">
        <x:v>0603B334K250NT</x:v>
      </x:c>
      <x:c r="E54" s="12" t="str">
        <x:v>FH</x:v>
      </x:c>
      <x:c r="F54" s="11" t="str">
        <x:v>0603</x:v>
      </x:c>
      <x:c r="G54" s="12" t="str">
        <x:v>SURFACE_MOUNT</x:v>
      </x:c>
      <x:c r="H54" s="12" t="str">
        <x:v>SELECTED_CATALOG_ITEM</x:v>
      </x:c>
      <x:c r="I54" s="12" t="str">
        <x:v>Не выпущено</x:v>
      </x:c>
      <x:c r="J54" s="33" t="str">
        <x:v>capacitance_pf: 330000; rated_voltage_v: 25; dielectric: X7R; tolerance_pct: 10; temperature_min_c: -55; temperature_max_c: 125</x:v>
      </x:c>
      <x:c r="K54" s="33" t="str">
        <x:v>https://www.lcsc.com/product-detail/C1615.html</x:v>
      </x:c>
      <x:c r="L54" s="33" t="str"/>
    </x:row>
    <x:row r="55" ht="38" customHeight="1">
      <x:c r="A55" s="2" t="str">
        <x:v>C220</x:v>
      </x:c>
      <x:c r="B55" s="2" t="str">
        <x:v>4700p</x:v>
      </x:c>
      <x:c r="C55" s="2" t="str">
        <x:v>Да</x:v>
      </x:c>
      <x:c r="D55" s="8" t="str">
        <x:v>C0603C472J1GACTU</x:v>
      </x:c>
      <x:c r="E55" s="2" t="str">
        <x:v>KEMET</x:v>
      </x:c>
      <x:c r="F55" s="8" t="str">
        <x:v>0603</x:v>
      </x:c>
      <x:c r="G55" s="2" t="str">
        <x:v>SURFACE_MOUNT</x:v>
      </x:c>
      <x:c r="H55" s="2" t="str">
        <x:v>SELECTED_CATALOG_ITEM</x:v>
      </x:c>
      <x:c r="I55" s="2" t="str">
        <x:v>Не выпущено</x:v>
      </x:c>
      <x:c r="J55" s="31" t="str">
        <x:v>capacitance_pf: 4700; rated_voltage_v: 100; dielectric: C0G; tolerance_pct: 5; temperature_min_c: -55; temperature_max_c: 125</x:v>
      </x:c>
      <x:c r="K55" s="31" t="str">
        <x:v>https://www.digikey.com/en/products/detail/kemet/C0603C472J1GACTU/3737137</x:v>
      </x:c>
      <x:c r="L55" s="31" t="str"/>
    </x:row>
    <x:row r="56" ht="38" customHeight="1">
      <x:c r="A56" s="12" t="str">
        <x:v>C221</x:v>
      </x:c>
      <x:c r="B56" s="12" t="str">
        <x:v>4700p</x:v>
      </x:c>
      <x:c r="C56" s="12" t="str">
        <x:v>Да</x:v>
      </x:c>
      <x:c r="D56" s="11" t="str">
        <x:v>C0603C472J1GACTU</x:v>
      </x:c>
      <x:c r="E56" s="12" t="str">
        <x:v>KEMET</x:v>
      </x:c>
      <x:c r="F56" s="11" t="str">
        <x:v>0603</x:v>
      </x:c>
      <x:c r="G56" s="12" t="str">
        <x:v>SURFACE_MOUNT</x:v>
      </x:c>
      <x:c r="H56" s="12" t="str">
        <x:v>SELECTED_CATALOG_ITEM</x:v>
      </x:c>
      <x:c r="I56" s="12" t="str">
        <x:v>Не выпущено</x:v>
      </x:c>
      <x:c r="J56" s="33" t="str">
        <x:v>capacitance_pf: 4700; rated_voltage_v: 100; dielectric: C0G; tolerance_pct: 5; temperature_min_c: -55; temperature_max_c: 125</x:v>
      </x:c>
      <x:c r="K56" s="33" t="str">
        <x:v>https://www.digikey.com/en/products/detail/kemet/C0603C472J1GACTU/3737137</x:v>
      </x:c>
      <x:c r="L56" s="33" t="str"/>
    </x:row>
    <x:row r="57" ht="38" customHeight="1">
      <x:c r="A57" s="2" t="str">
        <x:v>C222</x:v>
      </x:c>
      <x:c r="B57" s="2" t="str">
        <x:v>4700p</x:v>
      </x:c>
      <x:c r="C57" s="2" t="str">
        <x:v>Да</x:v>
      </x:c>
      <x:c r="D57" s="8" t="str">
        <x:v>C0603C472J1GACTU</x:v>
      </x:c>
      <x:c r="E57" s="2" t="str">
        <x:v>KEMET</x:v>
      </x:c>
      <x:c r="F57" s="8" t="str">
        <x:v>0603</x:v>
      </x:c>
      <x:c r="G57" s="2" t="str">
        <x:v>SURFACE_MOUNT</x:v>
      </x:c>
      <x:c r="H57" s="2" t="str">
        <x:v>SELECTED_CATALOG_ITEM</x:v>
      </x:c>
      <x:c r="I57" s="2" t="str">
        <x:v>Не выпущено</x:v>
      </x:c>
      <x:c r="J57" s="31" t="str">
        <x:v>capacitance_pf: 4700; rated_voltage_v: 100; dielectric: C0G; tolerance_pct: 5; temperature_min_c: -55; temperature_max_c: 125</x:v>
      </x:c>
      <x:c r="K57" s="31" t="str">
        <x:v>https://www.digikey.com/en/products/detail/kemet/C0603C472J1GACTU/3737137</x:v>
      </x:c>
      <x:c r="L57" s="31" t="str"/>
    </x:row>
    <x:row r="58" ht="38" customHeight="1">
      <x:c r="A58" s="12" t="str">
        <x:v>C223</x:v>
      </x:c>
      <x:c r="B58" s="12" t="str">
        <x:v>4700p</x:v>
      </x:c>
      <x:c r="C58" s="12" t="str">
        <x:v>Да</x:v>
      </x:c>
      <x:c r="D58" s="11" t="str">
        <x:v>C0603C472J1GACTU</x:v>
      </x:c>
      <x:c r="E58" s="12" t="str">
        <x:v>KEMET</x:v>
      </x:c>
      <x:c r="F58" s="11" t="str">
        <x:v>0603</x:v>
      </x:c>
      <x:c r="G58" s="12" t="str">
        <x:v>SURFACE_MOUNT</x:v>
      </x:c>
      <x:c r="H58" s="12" t="str">
        <x:v>SELECTED_CATALOG_ITEM</x:v>
      </x:c>
      <x:c r="I58" s="12" t="str">
        <x:v>Не выпущено</x:v>
      </x:c>
      <x:c r="J58" s="33" t="str">
        <x:v>capacitance_pf: 4700; rated_voltage_v: 100; dielectric: C0G; tolerance_pct: 5; temperature_min_c: -55; temperature_max_c: 125</x:v>
      </x:c>
      <x:c r="K58" s="33" t="str">
        <x:v>https://www.digikey.com/en/products/detail/kemet/C0603C472J1GACTU/3737137</x:v>
      </x:c>
      <x:c r="L58" s="33" t="str"/>
    </x:row>
    <x:row r="59" ht="38" customHeight="1">
      <x:c r="A59" s="2" t="str">
        <x:v>C224</x:v>
      </x:c>
      <x:c r="B59" s="2" t="str">
        <x:v>4700p</x:v>
      </x:c>
      <x:c r="C59" s="2" t="str">
        <x:v>Да</x:v>
      </x:c>
      <x:c r="D59" s="8" t="str">
        <x:v>C0603C472J1GACTU</x:v>
      </x:c>
      <x:c r="E59" s="2" t="str">
        <x:v>KEMET</x:v>
      </x:c>
      <x:c r="F59" s="8" t="str">
        <x:v>0603</x:v>
      </x:c>
      <x:c r="G59" s="2" t="str">
        <x:v>SURFACE_MOUNT</x:v>
      </x:c>
      <x:c r="H59" s="2" t="str">
        <x:v>SELECTED_CATALOG_ITEM</x:v>
      </x:c>
      <x:c r="I59" s="2" t="str">
        <x:v>Не выпущено</x:v>
      </x:c>
      <x:c r="J59" s="31" t="str">
        <x:v>capacitance_pf: 4700; rated_voltage_v: 100; dielectric: C0G; tolerance_pct: 5; temperature_min_c: -55; temperature_max_c: 125</x:v>
      </x:c>
      <x:c r="K59" s="31" t="str">
        <x:v>https://www.digikey.com/en/products/detail/kemet/C0603C472J1GACTU/3737137</x:v>
      </x:c>
      <x:c r="L59" s="31" t="str"/>
    </x:row>
    <x:row r="60" ht="38" customHeight="1">
      <x:c r="A60" s="12" t="str">
        <x:v>C225</x:v>
      </x:c>
      <x:c r="B60" s="12" t="str">
        <x:v>4700p</x:v>
      </x:c>
      <x:c r="C60" s="12" t="str">
        <x:v>Да</x:v>
      </x:c>
      <x:c r="D60" s="11" t="str">
        <x:v>C0603C472J1GACTU</x:v>
      </x:c>
      <x:c r="E60" s="12" t="str">
        <x:v>KEMET</x:v>
      </x:c>
      <x:c r="F60" s="11" t="str">
        <x:v>0603</x:v>
      </x:c>
      <x:c r="G60" s="12" t="str">
        <x:v>SURFACE_MOUNT</x:v>
      </x:c>
      <x:c r="H60" s="12" t="str">
        <x:v>SELECTED_CATALOG_ITEM</x:v>
      </x:c>
      <x:c r="I60" s="12" t="str">
        <x:v>Не выпущено</x:v>
      </x:c>
      <x:c r="J60" s="33" t="str">
        <x:v>capacitance_pf: 4700; rated_voltage_v: 100; dielectric: C0G; tolerance_pct: 5; temperature_min_c: -55; temperature_max_c: 125</x:v>
      </x:c>
      <x:c r="K60" s="33" t="str">
        <x:v>https://www.digikey.com/en/products/detail/kemet/C0603C472J1GACTU/3737137</x:v>
      </x:c>
      <x:c r="L60" s="33" t="str"/>
    </x:row>
    <x:row r="61" ht="38" customHeight="1">
      <x:c r="A61" s="2" t="str">
        <x:v>C226</x:v>
      </x:c>
      <x:c r="B61" s="2" t="str">
        <x:v>4700p</x:v>
      </x:c>
      <x:c r="C61" s="2" t="str">
        <x:v>Да</x:v>
      </x:c>
      <x:c r="D61" s="8" t="str">
        <x:v>C0603C472J1GACTU</x:v>
      </x:c>
      <x:c r="E61" s="2" t="str">
        <x:v>KEMET</x:v>
      </x:c>
      <x:c r="F61" s="8" t="str">
        <x:v>0603</x:v>
      </x:c>
      <x:c r="G61" s="2" t="str">
        <x:v>SURFACE_MOUNT</x:v>
      </x:c>
      <x:c r="H61" s="2" t="str">
        <x:v>SELECTED_CATALOG_ITEM</x:v>
      </x:c>
      <x:c r="I61" s="2" t="str">
        <x:v>Не выпущено</x:v>
      </x:c>
      <x:c r="J61" s="31" t="str">
        <x:v>capacitance_pf: 4700; rated_voltage_v: 100; dielectric: C0G; tolerance_pct: 5; temperature_min_c: -55; temperature_max_c: 125</x:v>
      </x:c>
      <x:c r="K61" s="31" t="str">
        <x:v>https://www.digikey.com/en/products/detail/kemet/C0603C472J1GACTU/3737137</x:v>
      </x:c>
      <x:c r="L61" s="31" t="str"/>
    </x:row>
    <x:row r="62" ht="38" customHeight="1">
      <x:c r="A62" s="12" t="str">
        <x:v>C228</x:v>
      </x:c>
      <x:c r="B62" s="12" t="str">
        <x:v>1000pF</x:v>
      </x:c>
      <x:c r="C62" s="12" t="str">
        <x:v>Да</x:v>
      </x:c>
      <x:c r="D62" s="11" t="str">
        <x:v>C0603C102J1GACTU</x:v>
      </x:c>
      <x:c r="E62" s="12" t="str">
        <x:v>KEMET</x:v>
      </x:c>
      <x:c r="F62" s="11" t="str">
        <x:v>0603</x:v>
      </x:c>
      <x:c r="G62" s="12" t="str">
        <x:v>SURFACE_MOUNT</x:v>
      </x:c>
      <x:c r="H62" s="12" t="str">
        <x:v>SELECTED_CATALOG_ITEM</x:v>
      </x:c>
      <x:c r="I62" s="12" t="str">
        <x:v>Не выпущено</x:v>
      </x:c>
      <x:c r="J62" s="33" t="str">
        <x:v>capacitance_pf: 1000; rated_voltage_v: 100; dielectric: C0G; tolerance_pct: 5; temperature_min_c: -55; temperature_max_c: 125</x:v>
      </x:c>
      <x:c r="K62" s="33" t="str">
        <x:v>https://search.kemet.com/download/specsheet/C0603C102J1GACTU</x:v>
      </x:c>
      <x:c r="L62" s="33" t="str"/>
    </x:row>
    <x:row r="63" ht="38" customHeight="1">
      <x:c r="A63" s="2" t="str">
        <x:v>C229</x:v>
      </x:c>
      <x:c r="B63" s="2" t="str">
        <x:v>1000pF</x:v>
      </x:c>
      <x:c r="C63" s="2" t="str">
        <x:v>Да</x:v>
      </x:c>
      <x:c r="D63" s="8" t="str">
        <x:v>C0603C102J1GACTU</x:v>
      </x:c>
      <x:c r="E63" s="2" t="str">
        <x:v>KEMET</x:v>
      </x:c>
      <x:c r="F63" s="8" t="str">
        <x:v>0603</x:v>
      </x:c>
      <x:c r="G63" s="2" t="str">
        <x:v>SURFACE_MOUNT</x:v>
      </x:c>
      <x:c r="H63" s="2" t="str">
        <x:v>SELECTED_CATALOG_ITEM</x:v>
      </x:c>
      <x:c r="I63" s="2" t="str">
        <x:v>Не выпущено</x:v>
      </x:c>
      <x:c r="J63" s="31" t="str">
        <x:v>capacitance_pf: 1000; rated_voltage_v: 100; dielectric: C0G; tolerance_pct: 5; temperature_min_c: -55; temperature_max_c: 125</x:v>
      </x:c>
      <x:c r="K63" s="31" t="str">
        <x:v>https://search.kemet.com/download/specsheet/C0603C102J1GACTU</x:v>
      </x:c>
      <x:c r="L63" s="31" t="str"/>
    </x:row>
    <x:row r="64" ht="38" customHeight="1">
      <x:c r="A64" s="12" t="str">
        <x:v>C230</x:v>
      </x:c>
      <x:c r="B64" s="12" t="str">
        <x:v>1000pF</x:v>
      </x:c>
      <x:c r="C64" s="12" t="str">
        <x:v>Да</x:v>
      </x:c>
      <x:c r="D64" s="11" t="str">
        <x:v>C0603C102J1GACTU</x:v>
      </x:c>
      <x:c r="E64" s="12" t="str">
        <x:v>KEMET</x:v>
      </x:c>
      <x:c r="F64" s="11" t="str">
        <x:v>0603</x:v>
      </x:c>
      <x:c r="G64" s="12" t="str">
        <x:v>SURFACE_MOUNT</x:v>
      </x:c>
      <x:c r="H64" s="12" t="str">
        <x:v>SELECTED_CATALOG_ITEM</x:v>
      </x:c>
      <x:c r="I64" s="12" t="str">
        <x:v>Не выпущено</x:v>
      </x:c>
      <x:c r="J64" s="33" t="str">
        <x:v>capacitance_pf: 1000; rated_voltage_v: 100; dielectric: C0G; tolerance_pct: 5; temperature_min_c: -55; temperature_max_c: 125</x:v>
      </x:c>
      <x:c r="K64" s="33" t="str">
        <x:v>https://search.kemet.com/download/specsheet/C0603C102J1GACTU</x:v>
      </x:c>
      <x:c r="L64" s="33" t="str"/>
    </x:row>
    <x:row r="65" ht="38" customHeight="1">
      <x:c r="A65" s="2" t="str">
        <x:v>C231</x:v>
      </x:c>
      <x:c r="B65" s="2" t="str">
        <x:v>1000pF</x:v>
      </x:c>
      <x:c r="C65" s="2" t="str">
        <x:v>Да</x:v>
      </x:c>
      <x:c r="D65" s="8" t="str">
        <x:v>C0603C102J1GACTU</x:v>
      </x:c>
      <x:c r="E65" s="2" t="str">
        <x:v>KEMET</x:v>
      </x:c>
      <x:c r="F65" s="8" t="str">
        <x:v>0603</x:v>
      </x:c>
      <x:c r="G65" s="2" t="str">
        <x:v>SURFACE_MOUNT</x:v>
      </x:c>
      <x:c r="H65" s="2" t="str">
        <x:v>SELECTED_CATALOG_ITEM</x:v>
      </x:c>
      <x:c r="I65" s="2" t="str">
        <x:v>Не выпущено</x:v>
      </x:c>
      <x:c r="J65" s="31" t="str">
        <x:v>capacitance_pf: 1000; rated_voltage_v: 100; dielectric: C0G; tolerance_pct: 5; temperature_min_c: -55; temperature_max_c: 125</x:v>
      </x:c>
      <x:c r="K65" s="31" t="str">
        <x:v>https://search.kemet.com/download/specsheet/C0603C102J1GACTU</x:v>
      </x:c>
      <x:c r="L65" s="31" t="str"/>
    </x:row>
    <x:row r="66" ht="38" customHeight="1">
      <x:c r="A66" s="12" t="str">
        <x:v>C232</x:v>
      </x:c>
      <x:c r="B66" s="12" t="str">
        <x:v>1000pF</x:v>
      </x:c>
      <x:c r="C66" s="12" t="str">
        <x:v>Да</x:v>
      </x:c>
      <x:c r="D66" s="11" t="str">
        <x:v>C0603C102J1GACTU</x:v>
      </x:c>
      <x:c r="E66" s="12" t="str">
        <x:v>KEMET</x:v>
      </x:c>
      <x:c r="F66" s="11" t="str">
        <x:v>0603</x:v>
      </x:c>
      <x:c r="G66" s="12" t="str">
        <x:v>SURFACE_MOUNT</x:v>
      </x:c>
      <x:c r="H66" s="12" t="str">
        <x:v>SELECTED_CATALOG_ITEM</x:v>
      </x:c>
      <x:c r="I66" s="12" t="str">
        <x:v>Не выпущено</x:v>
      </x:c>
      <x:c r="J66" s="33" t="str">
        <x:v>capacitance_pf: 1000; rated_voltage_v: 100; dielectric: C0G; tolerance_pct: 5; temperature_min_c: -55; temperature_max_c: 125</x:v>
      </x:c>
      <x:c r="K66" s="33" t="str">
        <x:v>https://search.kemet.com/download/specsheet/C0603C102J1GACTU</x:v>
      </x:c>
      <x:c r="L66" s="33" t="str"/>
    </x:row>
    <x:row r="67" ht="38" customHeight="1">
      <x:c r="A67" s="2" t="str">
        <x:v>C233</x:v>
      </x:c>
      <x:c r="B67" s="2" t="str">
        <x:v>1000pF</x:v>
      </x:c>
      <x:c r="C67" s="2" t="str">
        <x:v>Да</x:v>
      </x:c>
      <x:c r="D67" s="8" t="str">
        <x:v>C0603C102J1GACTU</x:v>
      </x:c>
      <x:c r="E67" s="2" t="str">
        <x:v>KEMET</x:v>
      </x:c>
      <x:c r="F67" s="8" t="str">
        <x:v>0603</x:v>
      </x:c>
      <x:c r="G67" s="2" t="str">
        <x:v>SURFACE_MOUNT</x:v>
      </x:c>
      <x:c r="H67" s="2" t="str">
        <x:v>SELECTED_CATALOG_ITEM</x:v>
      </x:c>
      <x:c r="I67" s="2" t="str">
        <x:v>Не выпущено</x:v>
      </x:c>
      <x:c r="J67" s="31" t="str">
        <x:v>capacitance_pf: 1000; rated_voltage_v: 100; dielectric: C0G; tolerance_pct: 5; temperature_min_c: -55; temperature_max_c: 125</x:v>
      </x:c>
      <x:c r="K67" s="31" t="str">
        <x:v>https://search.kemet.com/download/specsheet/C0603C102J1GACTU</x:v>
      </x:c>
      <x:c r="L67" s="31" t="str"/>
    </x:row>
    <x:row r="68" ht="38" customHeight="1">
      <x:c r="A68" s="12" t="str">
        <x:v>C234</x:v>
      </x:c>
      <x:c r="B68" s="12" t="str">
        <x:v>1000pF</x:v>
      </x:c>
      <x:c r="C68" s="12" t="str">
        <x:v>Да</x:v>
      </x:c>
      <x:c r="D68" s="11" t="str">
        <x:v>C0603C102J1GACTU</x:v>
      </x:c>
      <x:c r="E68" s="12" t="str">
        <x:v>KEMET</x:v>
      </x:c>
      <x:c r="F68" s="11" t="str">
        <x:v>0603</x:v>
      </x:c>
      <x:c r="G68" s="12" t="str">
        <x:v>SURFACE_MOUNT</x:v>
      </x:c>
      <x:c r="H68" s="12" t="str">
        <x:v>SELECTED_CATALOG_ITEM</x:v>
      </x:c>
      <x:c r="I68" s="12" t="str">
        <x:v>Не выпущено</x:v>
      </x:c>
      <x:c r="J68" s="33" t="str">
        <x:v>capacitance_pf: 1000; rated_voltage_v: 100; dielectric: C0G; tolerance_pct: 5; temperature_min_c: -55; temperature_max_c: 125</x:v>
      </x:c>
      <x:c r="K68" s="33" t="str">
        <x:v>https://search.kemet.com/download/specsheet/C0603C102J1GACTU</x:v>
      </x:c>
      <x:c r="L68" s="33" t="str"/>
    </x:row>
    <x:row r="69" ht="38" customHeight="1">
      <x:c r="A69" s="2" t="str">
        <x:v>C235</x:v>
      </x:c>
      <x:c r="B69" s="2" t="str">
        <x:v>100n</x:v>
      </x:c>
      <x:c r="C69" s="2" t="str">
        <x:v>Да</x:v>
      </x:c>
      <x:c r="D69" s="8" t="str">
        <x:v>C0603C104K5RACTU</x:v>
      </x:c>
      <x:c r="E69" s="2" t="str">
        <x:v>KEMET</x:v>
      </x:c>
      <x:c r="F69" s="8" t="str">
        <x:v>0603</x:v>
      </x:c>
      <x:c r="G69" s="2" t="str">
        <x:v>SURFACE_MOUNT</x:v>
      </x:c>
      <x:c r="H69" s="2" t="str">
        <x:v>SELECTED_CATALOG_ITEM</x:v>
      </x:c>
      <x:c r="I69" s="2" t="str">
        <x:v>Не выпущено</x:v>
      </x:c>
      <x:c r="J69" s="31" t="str">
        <x:v>capacitance_pf: 100000; rated_voltage_v: 50; dielectric: X7R; tolerance_pct: 10; temperature_min_c: -55; temperature_max_c: 125</x:v>
      </x:c>
      <x:c r="K69" s="31" t="str">
        <x:v>https://search.kemet.com/download/specsheet/C0603C104K5RACTU</x:v>
      </x:c>
      <x:c r="L69" s="31" t="str"/>
    </x:row>
    <x:row r="70" ht="38" customHeight="1">
      <x:c r="A70" s="12" t="str">
        <x:v>C236</x:v>
      </x:c>
      <x:c r="B70" s="12" t="str">
        <x:v>330p</x:v>
      </x:c>
      <x:c r="C70" s="12" t="str">
        <x:v>Да</x:v>
      </x:c>
      <x:c r="D70" s="11" t="str">
        <x:v>C0603C331J1GACTU</x:v>
      </x:c>
      <x:c r="E70" s="12" t="str">
        <x:v>KEMET</x:v>
      </x:c>
      <x:c r="F70" s="11" t="str">
        <x:v>0603</x:v>
      </x:c>
      <x:c r="G70" s="12" t="str">
        <x:v>SURFACE_MOUNT</x:v>
      </x:c>
      <x:c r="H70" s="12" t="str">
        <x:v>SELECTED_CATALOG_ITEM</x:v>
      </x:c>
      <x:c r="I70" s="12" t="str">
        <x:v>Не выпущено</x:v>
      </x:c>
      <x:c r="J70" s="33" t="str">
        <x:v>capacitance_pf: 330; rated_voltage_v: 100; dielectric: C0G; tolerance_pct: 5; temperature_min_c: -55; temperature_max_c: 125</x:v>
      </x:c>
      <x:c r="K70" s="33" t="str">
        <x:v>https://search.kemet.com/download/specsheet/C0603C331J1GACTU</x:v>
      </x:c>
      <x:c r="L70" s="33" t="str"/>
    </x:row>
    <x:row r="71" ht="38" customHeight="1">
      <x:c r="A71" s="2" t="str">
        <x:v>C238</x:v>
      </x:c>
      <x:c r="B71" s="2" t="str">
        <x:v>1000pF</x:v>
      </x:c>
      <x:c r="C71" s="2" t="str">
        <x:v>Да</x:v>
      </x:c>
      <x:c r="D71" s="8" t="str">
        <x:v>C0603C102J1GACTU</x:v>
      </x:c>
      <x:c r="E71" s="2" t="str">
        <x:v>KEMET</x:v>
      </x:c>
      <x:c r="F71" s="8" t="str">
        <x:v>0603</x:v>
      </x:c>
      <x:c r="G71" s="2" t="str">
        <x:v>SURFACE_MOUNT</x:v>
      </x:c>
      <x:c r="H71" s="2" t="str">
        <x:v>SELECTED_CATALOG_ITEM</x:v>
      </x:c>
      <x:c r="I71" s="2" t="str">
        <x:v>Не выпущено</x:v>
      </x:c>
      <x:c r="J71" s="31" t="str">
        <x:v>capacitance_pf: 1000; rated_voltage_v: 100; dielectric: C0G; tolerance_pct: 5; temperature_min_c: -55; temperature_max_c: 125</x:v>
      </x:c>
      <x:c r="K71" s="31" t="str">
        <x:v>https://search.kemet.com/download/specsheet/C0603C102J1GACTU</x:v>
      </x:c>
      <x:c r="L71" s="31" t="str"/>
    </x:row>
    <x:row r="72" ht="38" customHeight="1">
      <x:c r="A72" s="12" t="str">
        <x:v>C239</x:v>
      </x:c>
      <x:c r="B72" s="12" t="str">
        <x:v>1000pF</x:v>
      </x:c>
      <x:c r="C72" s="12" t="str">
        <x:v>Да</x:v>
      </x:c>
      <x:c r="D72" s="11" t="str">
        <x:v>C0603C102J1GACTU</x:v>
      </x:c>
      <x:c r="E72" s="12" t="str">
        <x:v>KEMET</x:v>
      </x:c>
      <x:c r="F72" s="11" t="str">
        <x:v>0603</x:v>
      </x:c>
      <x:c r="G72" s="12" t="str">
        <x:v>SURFACE_MOUNT</x:v>
      </x:c>
      <x:c r="H72" s="12" t="str">
        <x:v>SELECTED_CATALOG_ITEM</x:v>
      </x:c>
      <x:c r="I72" s="12" t="str">
        <x:v>Не выпущено</x:v>
      </x:c>
      <x:c r="J72" s="33" t="str">
        <x:v>capacitance_pf: 1000; rated_voltage_v: 100; dielectric: C0G; tolerance_pct: 5; temperature_min_c: -55; temperature_max_c: 125</x:v>
      </x:c>
      <x:c r="K72" s="33" t="str">
        <x:v>https://search.kemet.com/download/specsheet/C0603C102J1GACTU</x:v>
      </x:c>
      <x:c r="L72" s="33" t="str"/>
    </x:row>
    <x:row r="73" ht="38" customHeight="1">
      <x:c r="A73" s="2" t="str">
        <x:v>C240</x:v>
      </x:c>
      <x:c r="B73" s="2" t="str">
        <x:v>0.33uF</x:v>
      </x:c>
      <x:c r="C73" s="2" t="str">
        <x:v>Да</x:v>
      </x:c>
      <x:c r="D73" s="8" t="str">
        <x:v>0603B334K250NT</x:v>
      </x:c>
      <x:c r="E73" s="2" t="str">
        <x:v>FH</x:v>
      </x:c>
      <x:c r="F73" s="8" t="str">
        <x:v>0603</x:v>
      </x:c>
      <x:c r="G73" s="2" t="str">
        <x:v>SURFACE_MOUNT</x:v>
      </x:c>
      <x:c r="H73" s="2" t="str">
        <x:v>SELECTED_CATALOG_ITEM</x:v>
      </x:c>
      <x:c r="I73" s="2" t="str">
        <x:v>Не выпущено</x:v>
      </x:c>
      <x:c r="J73" s="31" t="str">
        <x:v>capacitance_pf: 330000; rated_voltage_v: 25; dielectric: X7R; tolerance_pct: 10; temperature_min_c: -55; temperature_max_c: 125</x:v>
      </x:c>
      <x:c r="K73" s="31" t="str">
        <x:v>https://www.lcsc.com/product-detail/C1615.html</x:v>
      </x:c>
      <x:c r="L73" s="31" t="str"/>
    </x:row>
    <x:row r="74" ht="38" customHeight="1">
      <x:c r="A74" s="12" t="str">
        <x:v>C241</x:v>
      </x:c>
      <x:c r="B74" s="12" t="str">
        <x:v>4700p</x:v>
      </x:c>
      <x:c r="C74" s="12" t="str">
        <x:v>Да</x:v>
      </x:c>
      <x:c r="D74" s="11" t="str">
        <x:v>C0603C472J1GACTU</x:v>
      </x:c>
      <x:c r="E74" s="12" t="str">
        <x:v>KEMET</x:v>
      </x:c>
      <x:c r="F74" s="11" t="str">
        <x:v>0603</x:v>
      </x:c>
      <x:c r="G74" s="12" t="str">
        <x:v>SURFACE_MOUNT</x:v>
      </x:c>
      <x:c r="H74" s="12" t="str">
        <x:v>SELECTED_CATALOG_ITEM</x:v>
      </x:c>
      <x:c r="I74" s="12" t="str">
        <x:v>Не выпущено</x:v>
      </x:c>
      <x:c r="J74" s="33" t="str">
        <x:v>capacitance_pf: 4700; rated_voltage_v: 100; dielectric: C0G; tolerance_pct: 5; temperature_min_c: -55; temperature_max_c: 125</x:v>
      </x:c>
      <x:c r="K74" s="33" t="str">
        <x:v>https://www.digikey.com/en/products/detail/kemet/C0603C472J1GACTU/3737137</x:v>
      </x:c>
      <x:c r="L74" s="33" t="str"/>
    </x:row>
    <x:row r="75" ht="38" customHeight="1">
      <x:c r="A75" s="2" t="str">
        <x:v>C242</x:v>
      </x:c>
      <x:c r="B75" s="2" t="str">
        <x:v>4700p</x:v>
      </x:c>
      <x:c r="C75" s="2" t="str">
        <x:v>Да</x:v>
      </x:c>
      <x:c r="D75" s="8" t="str">
        <x:v>C0603C472J1GACTU</x:v>
      </x:c>
      <x:c r="E75" s="2" t="str">
        <x:v>KEMET</x:v>
      </x:c>
      <x:c r="F75" s="8" t="str">
        <x:v>0603</x:v>
      </x:c>
      <x:c r="G75" s="2" t="str">
        <x:v>SURFACE_MOUNT</x:v>
      </x:c>
      <x:c r="H75" s="2" t="str">
        <x:v>SELECTED_CATALOG_ITEM</x:v>
      </x:c>
      <x:c r="I75" s="2" t="str">
        <x:v>Не выпущено</x:v>
      </x:c>
      <x:c r="J75" s="31" t="str">
        <x:v>capacitance_pf: 4700; rated_voltage_v: 100; dielectric: C0G; tolerance_pct: 5; temperature_min_c: -55; temperature_max_c: 125</x:v>
      </x:c>
      <x:c r="K75" s="31" t="str">
        <x:v>https://www.digikey.com/en/products/detail/kemet/C0603C472J1GACTU/3737137</x:v>
      </x:c>
      <x:c r="L75" s="31" t="str"/>
    </x:row>
    <x:row r="76" ht="38" customHeight="1">
      <x:c r="A76" s="12" t="str">
        <x:v>C243</x:v>
      </x:c>
      <x:c r="B76" s="12" t="str">
        <x:v>1000pF</x:v>
      </x:c>
      <x:c r="C76" s="12" t="str">
        <x:v>Да</x:v>
      </x:c>
      <x:c r="D76" s="11" t="str">
        <x:v>C0603C102J1GACTU</x:v>
      </x:c>
      <x:c r="E76" s="12" t="str">
        <x:v>KEMET</x:v>
      </x:c>
      <x:c r="F76" s="11" t="str">
        <x:v>0603</x:v>
      </x:c>
      <x:c r="G76" s="12" t="str">
        <x:v>SURFACE_MOUNT</x:v>
      </x:c>
      <x:c r="H76" s="12" t="str">
        <x:v>SELECTED_CATALOG_ITEM</x:v>
      </x:c>
      <x:c r="I76" s="12" t="str">
        <x:v>Не выпущено</x:v>
      </x:c>
      <x:c r="J76" s="33" t="str">
        <x:v>capacitance_pf: 1000; rated_voltage_v: 100; dielectric: C0G; tolerance_pct: 5; temperature_min_c: -55; temperature_max_c: 125</x:v>
      </x:c>
      <x:c r="K76" s="33" t="str">
        <x:v>https://search.kemet.com/download/specsheet/C0603C102J1GACTU</x:v>
      </x:c>
      <x:c r="L76" s="33" t="str"/>
    </x:row>
    <x:row r="77" ht="38" customHeight="1">
      <x:c r="A77" s="2" t="str">
        <x:v>C244</x:v>
      </x:c>
      <x:c r="B77" s="2" t="str">
        <x:v>330p</x:v>
      </x:c>
      <x:c r="C77" s="2" t="str">
        <x:v>Да</x:v>
      </x:c>
      <x:c r="D77" s="8" t="str">
        <x:v>C0603C331J1GACTU</x:v>
      </x:c>
      <x:c r="E77" s="2" t="str">
        <x:v>KEMET</x:v>
      </x:c>
      <x:c r="F77" s="8" t="str">
        <x:v>0603</x:v>
      </x:c>
      <x:c r="G77" s="2" t="str">
        <x:v>SURFACE_MOUNT</x:v>
      </x:c>
      <x:c r="H77" s="2" t="str">
        <x:v>SELECTED_CATALOG_ITEM</x:v>
      </x:c>
      <x:c r="I77" s="2" t="str">
        <x:v>Не выпущено</x:v>
      </x:c>
      <x:c r="J77" s="31" t="str">
        <x:v>capacitance_pf: 330; rated_voltage_v: 100; dielectric: C0G; tolerance_pct: 5; temperature_min_c: -55; temperature_max_c: 125</x:v>
      </x:c>
      <x:c r="K77" s="31" t="str">
        <x:v>https://search.kemet.com/download/specsheet/C0603C331J1GACTU</x:v>
      </x:c>
      <x:c r="L77" s="31" t="str"/>
    </x:row>
    <x:row r="78" ht="38" customHeight="1">
      <x:c r="A78" s="12" t="str">
        <x:v>C245</x:v>
      </x:c>
      <x:c r="B78" s="12" t="str">
        <x:v>470p</x:v>
      </x:c>
      <x:c r="C78" s="12" t="str">
        <x:v>Да</x:v>
      </x:c>
      <x:c r="D78" s="11" t="str">
        <x:v>C0603C471J1GACTU</x:v>
      </x:c>
      <x:c r="E78" s="12" t="str">
        <x:v>KEMET</x:v>
      </x:c>
      <x:c r="F78" s="11" t="str">
        <x:v>0603</x:v>
      </x:c>
      <x:c r="G78" s="12" t="str">
        <x:v>SURFACE_MOUNT</x:v>
      </x:c>
      <x:c r="H78" s="12" t="str">
        <x:v>SELECTED_CATALOG_ITEM</x:v>
      </x:c>
      <x:c r="I78" s="12" t="str">
        <x:v>Не выпущено</x:v>
      </x:c>
      <x:c r="J78" s="33" t="str">
        <x:v>capacitance_pf: 470; rated_voltage_v: 100; dielectric: C0G; tolerance_pct: 5; temperature_min_c: -55; temperature_max_c: 125</x:v>
      </x:c>
      <x:c r="K78" s="33" t="str">
        <x:v>https://www.digikey.com/en/products/detail/kemet/C0603C471J1GACTU/3471644</x:v>
      </x:c>
      <x:c r="L78" s="33" t="str"/>
    </x:row>
    <x:row r="79" ht="38" customHeight="1">
      <x:c r="A79" s="2" t="str">
        <x:v>C246</x:v>
      </x:c>
      <x:c r="B79" s="2" t="str">
        <x:v>0.22uF</x:v>
      </x:c>
      <x:c r="C79" s="2" t="str">
        <x:v>Да</x:v>
      </x:c>
      <x:c r="D79" s="8" t="str">
        <x:v>C0805C224K1RACTU</x:v>
      </x:c>
      <x:c r="E79" s="2" t="str">
        <x:v>KEMET</x:v>
      </x:c>
      <x:c r="F79" s="8" t="str">
        <x:v>0805</x:v>
      </x:c>
      <x:c r="G79" s="2" t="str">
        <x:v>SURFACE_MOUNT</x:v>
      </x:c>
      <x:c r="H79" s="2" t="str">
        <x:v>SELECTED_CATALOG_ITEM</x:v>
      </x:c>
      <x:c r="I79" s="2" t="str">
        <x:v>Не выпущено</x:v>
      </x:c>
      <x:c r="J79" s="31" t="str">
        <x:v>capacitance_pf: 220000; rated_voltage_v: 100; dielectric: X7R; tolerance_pct: 10; temperature_min_c: -55; temperature_max_c: 125</x:v>
      </x:c>
      <x:c r="K79" s="31" t="str">
        <x:v>https://content.kemet.com/datasheets/CER_ENG_KIT_30.pdf</x:v>
      </x:c>
      <x:c r="L79" s="31" t="str"/>
    </x:row>
    <x:row r="80" ht="38" customHeight="1">
      <x:c r="A80" s="12" t="str">
        <x:v>C247</x:v>
      </x:c>
      <x:c r="B80" s="12" t="str">
        <x:v>0.22uF</x:v>
      </x:c>
      <x:c r="C80" s="12" t="str">
        <x:v>Да</x:v>
      </x:c>
      <x:c r="D80" s="11" t="str">
        <x:v>C0805C224K1RACTU</x:v>
      </x:c>
      <x:c r="E80" s="12" t="str">
        <x:v>KEMET</x:v>
      </x:c>
      <x:c r="F80" s="11" t="str">
        <x:v>0805</x:v>
      </x:c>
      <x:c r="G80" s="12" t="str">
        <x:v>SURFACE_MOUNT</x:v>
      </x:c>
      <x:c r="H80" s="12" t="str">
        <x:v>SELECTED_CATALOG_ITEM</x:v>
      </x:c>
      <x:c r="I80" s="12" t="str">
        <x:v>Не выпущено</x:v>
      </x:c>
      <x:c r="J80" s="33" t="str">
        <x:v>capacitance_pf: 220000; rated_voltage_v: 100; dielectric: X7R; tolerance_pct: 10; temperature_min_c: -55; temperature_max_c: 125</x:v>
      </x:c>
      <x:c r="K80" s="33" t="str">
        <x:v>https://content.kemet.com/datasheets/CER_ENG_KIT_30.pdf</x:v>
      </x:c>
      <x:c r="L80" s="33" t="str"/>
    </x:row>
    <x:row r="81" ht="38" customHeight="1">
      <x:c r="A81" s="2" t="str">
        <x:v>C248</x:v>
      </x:c>
      <x:c r="B81" s="2" t="str">
        <x:v>0.22uF</x:v>
      </x:c>
      <x:c r="C81" s="2" t="str">
        <x:v>Да</x:v>
      </x:c>
      <x:c r="D81" s="8" t="str">
        <x:v>C0805C224K1RACTU</x:v>
      </x:c>
      <x:c r="E81" s="2" t="str">
        <x:v>KEMET</x:v>
      </x:c>
      <x:c r="F81" s="8" t="str">
        <x:v>0805</x:v>
      </x:c>
      <x:c r="G81" s="2" t="str">
        <x:v>SURFACE_MOUNT</x:v>
      </x:c>
      <x:c r="H81" s="2" t="str">
        <x:v>SELECTED_CATALOG_ITEM</x:v>
      </x:c>
      <x:c r="I81" s="2" t="str">
        <x:v>Не выпущено</x:v>
      </x:c>
      <x:c r="J81" s="31" t="str">
        <x:v>capacitance_pf: 220000; rated_voltage_v: 100; dielectric: X7R; tolerance_pct: 10; temperature_min_c: -55; temperature_max_c: 125</x:v>
      </x:c>
      <x:c r="K81" s="31" t="str">
        <x:v>https://content.kemet.com/datasheets/CER_ENG_KIT_30.pdf</x:v>
      </x:c>
      <x:c r="L81" s="31" t="str"/>
    </x:row>
    <x:row r="82" ht="38" customHeight="1">
      <x:c r="A82" s="12" t="str">
        <x:v>C249</x:v>
      </x:c>
      <x:c r="B82" s="12" t="str">
        <x:v>4700p</x:v>
      </x:c>
      <x:c r="C82" s="12" t="str">
        <x:v>Да</x:v>
      </x:c>
      <x:c r="D82" s="11" t="str">
        <x:v>C0603C472J1GACTU</x:v>
      </x:c>
      <x:c r="E82" s="12" t="str">
        <x:v>KEMET</x:v>
      </x:c>
      <x:c r="F82" s="11" t="str">
        <x:v>0603</x:v>
      </x:c>
      <x:c r="G82" s="12" t="str">
        <x:v>SURFACE_MOUNT</x:v>
      </x:c>
      <x:c r="H82" s="12" t="str">
        <x:v>SELECTED_CATALOG_ITEM</x:v>
      </x:c>
      <x:c r="I82" s="12" t="str">
        <x:v>Не выпущено</x:v>
      </x:c>
      <x:c r="J82" s="33" t="str">
        <x:v>capacitance_pf: 4700; rated_voltage_v: 100; dielectric: C0G; tolerance_pct: 5; temperature_min_c: -55; temperature_max_c: 125</x:v>
      </x:c>
      <x:c r="K82" s="33" t="str">
        <x:v>https://www.digikey.com/en/products/detail/kemet/C0603C472J1GACTU/3737137</x:v>
      </x:c>
      <x:c r="L82" s="33" t="str"/>
    </x:row>
    <x:row r="83" ht="38" customHeight="1">
      <x:c r="A83" s="2" t="str">
        <x:v>C250</x:v>
      </x:c>
      <x:c r="B83" s="2" t="str">
        <x:v>4700p</x:v>
      </x:c>
      <x:c r="C83" s="2" t="str">
        <x:v>Да</x:v>
      </x:c>
      <x:c r="D83" s="8" t="str">
        <x:v>C0603C472J1GACTU</x:v>
      </x:c>
      <x:c r="E83" s="2" t="str">
        <x:v>KEMET</x:v>
      </x:c>
      <x:c r="F83" s="8" t="str">
        <x:v>0603</x:v>
      </x:c>
      <x:c r="G83" s="2" t="str">
        <x:v>SURFACE_MOUNT</x:v>
      </x:c>
      <x:c r="H83" s="2" t="str">
        <x:v>SELECTED_CATALOG_ITEM</x:v>
      </x:c>
      <x:c r="I83" s="2" t="str">
        <x:v>Не выпущено</x:v>
      </x:c>
      <x:c r="J83" s="31" t="str">
        <x:v>capacitance_pf: 4700; rated_voltage_v: 100; dielectric: C0G; tolerance_pct: 5; temperature_min_c: -55; temperature_max_c: 125</x:v>
      </x:c>
      <x:c r="K83" s="31" t="str">
        <x:v>https://www.digikey.com/en/products/detail/kemet/C0603C472J1GACTU/3737137</x:v>
      </x:c>
      <x:c r="L83" s="31" t="str"/>
    </x:row>
    <x:row r="84" ht="38" customHeight="1">
      <x:c r="A84" s="12" t="str">
        <x:v>C251</x:v>
      </x:c>
      <x:c r="B84" s="12" t="str">
        <x:v>4700p</x:v>
      </x:c>
      <x:c r="C84" s="12" t="str">
        <x:v>Да</x:v>
      </x:c>
      <x:c r="D84" s="11" t="str">
        <x:v>C0603C472J1GACTU</x:v>
      </x:c>
      <x:c r="E84" s="12" t="str">
        <x:v>KEMET</x:v>
      </x:c>
      <x:c r="F84" s="11" t="str">
        <x:v>0603</x:v>
      </x:c>
      <x:c r="G84" s="12" t="str">
        <x:v>SURFACE_MOUNT</x:v>
      </x:c>
      <x:c r="H84" s="12" t="str">
        <x:v>SELECTED_CATALOG_ITEM</x:v>
      </x:c>
      <x:c r="I84" s="12" t="str">
        <x:v>Не выпущено</x:v>
      </x:c>
      <x:c r="J84" s="33" t="str">
        <x:v>capacitance_pf: 4700; rated_voltage_v: 100; dielectric: C0G; tolerance_pct: 5; temperature_min_c: -55; temperature_max_c: 125</x:v>
      </x:c>
      <x:c r="K84" s="33" t="str">
        <x:v>https://www.digikey.com/en/products/detail/kemet/C0603C472J1GACTU/3737137</x:v>
      </x:c>
      <x:c r="L84" s="33" t="str"/>
    </x:row>
    <x:row r="85" ht="38" customHeight="1">
      <x:c r="A85" s="2" t="str">
        <x:v>C252</x:v>
      </x:c>
      <x:c r="B85" s="2" t="str">
        <x:v>1000pF</x:v>
      </x:c>
      <x:c r="C85" s="2" t="str">
        <x:v>Да</x:v>
      </x:c>
      <x:c r="D85" s="8" t="str">
        <x:v>C0603C102J1GACTU</x:v>
      </x:c>
      <x:c r="E85" s="2" t="str">
        <x:v>KEMET</x:v>
      </x:c>
      <x:c r="F85" s="8" t="str">
        <x:v>0603</x:v>
      </x:c>
      <x:c r="G85" s="2" t="str">
        <x:v>SURFACE_MOUNT</x:v>
      </x:c>
      <x:c r="H85" s="2" t="str">
        <x:v>SELECTED_CATALOG_ITEM</x:v>
      </x:c>
      <x:c r="I85" s="2" t="str">
        <x:v>Не выпущено</x:v>
      </x:c>
      <x:c r="J85" s="31" t="str">
        <x:v>capacitance_pf: 1000; rated_voltage_v: 100; dielectric: C0G; tolerance_pct: 5; temperature_min_c: -55; temperature_max_c: 125</x:v>
      </x:c>
      <x:c r="K85" s="31" t="str">
        <x:v>https://search.kemet.com/download/specsheet/C0603C102J1GACTU</x:v>
      </x:c>
      <x:c r="L85" s="31" t="str"/>
    </x:row>
    <x:row r="86" ht="38" customHeight="1">
      <x:c r="A86" s="12" t="str">
        <x:v>C253</x:v>
      </x:c>
      <x:c r="B86" s="12" t="str">
        <x:v>4700p</x:v>
      </x:c>
      <x:c r="C86" s="12" t="str">
        <x:v>Да</x:v>
      </x:c>
      <x:c r="D86" s="11" t="str">
        <x:v>C0603C472J1GACTU</x:v>
      </x:c>
      <x:c r="E86" s="12" t="str">
        <x:v>KEMET</x:v>
      </x:c>
      <x:c r="F86" s="11" t="str">
        <x:v>0603</x:v>
      </x:c>
      <x:c r="G86" s="12" t="str">
        <x:v>SURFACE_MOUNT</x:v>
      </x:c>
      <x:c r="H86" s="12" t="str">
        <x:v>SELECTED_CATALOG_ITEM</x:v>
      </x:c>
      <x:c r="I86" s="12" t="str">
        <x:v>Не выпущено</x:v>
      </x:c>
      <x:c r="J86" s="33" t="str">
        <x:v>capacitance_pf: 4700; rated_voltage_v: 100; dielectric: C0G; tolerance_pct: 5; temperature_min_c: -55; temperature_max_c: 125</x:v>
      </x:c>
      <x:c r="K86" s="33" t="str">
        <x:v>https://www.digikey.com/en/products/detail/kemet/C0603C472J1GACTU/3737137</x:v>
      </x:c>
      <x:c r="L86" s="33" t="str"/>
    </x:row>
    <x:row r="87" ht="38" customHeight="1">
      <x:c r="A87" s="2" t="str">
        <x:v>C254</x:v>
      </x:c>
      <x:c r="B87" s="2" t="str">
        <x:v>1000pF</x:v>
      </x:c>
      <x:c r="C87" s="2" t="str">
        <x:v>Да</x:v>
      </x:c>
      <x:c r="D87" s="8" t="str">
        <x:v>C0603C102J1GACTU</x:v>
      </x:c>
      <x:c r="E87" s="2" t="str">
        <x:v>KEMET</x:v>
      </x:c>
      <x:c r="F87" s="8" t="str">
        <x:v>0603</x:v>
      </x:c>
      <x:c r="G87" s="2" t="str">
        <x:v>SURFACE_MOUNT</x:v>
      </x:c>
      <x:c r="H87" s="2" t="str">
        <x:v>SELECTED_CATALOG_ITEM</x:v>
      </x:c>
      <x:c r="I87" s="2" t="str">
        <x:v>Не выпущено</x:v>
      </x:c>
      <x:c r="J87" s="31" t="str">
        <x:v>capacitance_pf: 1000; rated_voltage_v: 100; dielectric: C0G; tolerance_pct: 5; temperature_min_c: -55; temperature_max_c: 125</x:v>
      </x:c>
      <x:c r="K87" s="31" t="str">
        <x:v>https://search.kemet.com/download/specsheet/C0603C102J1GACTU</x:v>
      </x:c>
      <x:c r="L87" s="31" t="str"/>
    </x:row>
    <x:row r="88" ht="38" customHeight="1">
      <x:c r="A88" s="12" t="str">
        <x:v>C298</x:v>
      </x:c>
      <x:c r="B88" s="12" t="str">
        <x:v>330n 50V X7R</x:v>
      </x:c>
      <x:c r="C88" s="12" t="str">
        <x:v>Да</x:v>
      </x:c>
      <x:c r="D88" s="11" t="str">
        <x:v>C0805C334K5RACTU</x:v>
      </x:c>
      <x:c r="E88" s="12" t="str">
        <x:v>KEMET</x:v>
      </x:c>
      <x:c r="F88" s="11" t="str">
        <x:v>0805</x:v>
      </x:c>
      <x:c r="G88" s="12" t="str">
        <x:v>SURFACE_MOUNT</x:v>
      </x:c>
      <x:c r="H88" s="12" t="str">
        <x:v>SELECTED_CATALOG_ITEM</x:v>
      </x:c>
      <x:c r="I88" s="12" t="str">
        <x:v>Не выпущено</x:v>
      </x:c>
      <x:c r="J88" s="33" t="str">
        <x:v>capacitance_pf: 330000; rated_voltage_v: 50; dielectric: X7R; tolerance_pct: 10; temperature_min_c: -55; temperature_max_c: 125</x:v>
      </x:c>
      <x:c r="K88" s="33" t="str">
        <x:v>https://www.digikey.com/en/products/detail/kemet/C0805C334K5RACTU/2212621</x:v>
      </x:c>
      <x:c r="L88" s="33" t="str"/>
    </x:row>
    <x:row r="89" ht="38" customHeight="1">
      <x:c r="A89" s="2" t="str">
        <x:v>C299</x:v>
      </x:c>
      <x:c r="B89" s="2" t="str">
        <x:v>100n 25V X7R</x:v>
      </x:c>
      <x:c r="C89" s="2" t="str">
        <x:v>Да</x:v>
      </x:c>
      <x:c r="D89" s="8" t="str">
        <x:v>C0805C104K1RACTU</x:v>
      </x:c>
      <x:c r="E89" s="2" t="str">
        <x:v>KEMET</x:v>
      </x:c>
      <x:c r="F89" s="8" t="str">
        <x:v>0805</x:v>
      </x:c>
      <x:c r="G89" s="2" t="str">
        <x:v>SURFACE_MOUNT</x:v>
      </x:c>
      <x:c r="H89" s="2" t="str">
        <x:v>SELECTED_CATALOG_ITEM</x:v>
      </x:c>
      <x:c r="I89" s="2" t="str">
        <x:v>Не выпущено</x:v>
      </x:c>
      <x:c r="J89" s="31" t="str">
        <x:v>capacitance_pf: 100000; rated_voltage_v: 100; dielectric: X7R; tolerance_pct: 10; temperature_min_c: -55; temperature_max_c: 125</x:v>
      </x:c>
      <x:c r="K89" s="31" t="str">
        <x:v>https://www.mouser.com/datasheet/3/72/1/C0805C104K1RACTU.pdf</x:v>
      </x:c>
      <x:c r="L89" s="31" t="str"/>
    </x:row>
    <x:row r="90" ht="38" customHeight="1">
      <x:c r="A90" s="12" t="str">
        <x:v>C301</x:v>
      </x:c>
      <x:c r="B90" s="12" t="str">
        <x:v>1u</x:v>
      </x:c>
      <x:c r="C90" s="12" t="str">
        <x:v>Да</x:v>
      </x:c>
      <x:c r="D90" s="11" t="str">
        <x:v>C0603C105K3RACTU</x:v>
      </x:c>
      <x:c r="E90" s="12" t="str">
        <x:v>KEMET</x:v>
      </x:c>
      <x:c r="F90" s="11" t="str">
        <x:v>0603</x:v>
      </x:c>
      <x:c r="G90" s="12" t="str">
        <x:v>SURFACE_MOUNT</x:v>
      </x:c>
      <x:c r="H90" s="12" t="str">
        <x:v>SELECTED_CATALOG_ITEM</x:v>
      </x:c>
      <x:c r="I90" s="12" t="str">
        <x:v>Не выпущено</x:v>
      </x:c>
      <x:c r="J90" s="33" t="str">
        <x:v>capacitance_pf: 1000000; rated_voltage_v: 25; dielectric: X7R; tolerance_pct: 10; temperature_min_c: -55; temperature_max_c: 125; effective_capacitance_min_pf: None; dc_bias_qualification: PENDING_AT_ACTUAL_NODE_VOLTAGE</x:v>
      </x:c>
      <x:c r="K90" s="33" t="str">
        <x:v>https://search.kemet.com/download/specsheet/C0603C105K3RACTU</x:v>
      </x:c>
      <x:c r="L90" s="33" t="str"/>
    </x:row>
    <x:row r="91" ht="38" customHeight="1">
      <x:c r="A91" s="2" t="str">
        <x:v>C302</x:v>
      </x:c>
      <x:c r="B91" s="2" t="str">
        <x:v>330p</x:v>
      </x:c>
      <x:c r="C91" s="2" t="str">
        <x:v>Да</x:v>
      </x:c>
      <x:c r="D91" s="8" t="str">
        <x:v>C0603C331J1GACTU</x:v>
      </x:c>
      <x:c r="E91" s="2" t="str">
        <x:v>KEMET</x:v>
      </x:c>
      <x:c r="F91" s="8" t="str">
        <x:v>0603</x:v>
      </x:c>
      <x:c r="G91" s="2" t="str">
        <x:v>SURFACE_MOUNT</x:v>
      </x:c>
      <x:c r="H91" s="2" t="str">
        <x:v>SELECTED_CATALOG_ITEM</x:v>
      </x:c>
      <x:c r="I91" s="2" t="str">
        <x:v>Не выпущено</x:v>
      </x:c>
      <x:c r="J91" s="31" t="str">
        <x:v>capacitance_pf: 330; rated_voltage_v: 100; dielectric: C0G; tolerance_pct: 5; temperature_min_c: -55; temperature_max_c: 125</x:v>
      </x:c>
      <x:c r="K91" s="31" t="str">
        <x:v>https://search.kemet.com/download/specsheet/C0603C331J1GACTU</x:v>
      </x:c>
      <x:c r="L91" s="31" t="str"/>
    </x:row>
    <x:row r="92" ht="38" customHeight="1">
      <x:c r="A92" s="12" t="str">
        <x:v>C303</x:v>
      </x:c>
      <x:c r="B92" s="12" t="str">
        <x:v>330p</x:v>
      </x:c>
      <x:c r="C92" s="12" t="str">
        <x:v>Да</x:v>
      </x:c>
      <x:c r="D92" s="11" t="str">
        <x:v>C0603C331J1GACTU</x:v>
      </x:c>
      <x:c r="E92" s="12" t="str">
        <x:v>KEMET</x:v>
      </x:c>
      <x:c r="F92" s="11" t="str">
        <x:v>0603</x:v>
      </x:c>
      <x:c r="G92" s="12" t="str">
        <x:v>SURFACE_MOUNT</x:v>
      </x:c>
      <x:c r="H92" s="12" t="str">
        <x:v>SELECTED_CATALOG_ITEM</x:v>
      </x:c>
      <x:c r="I92" s="12" t="str">
        <x:v>Не выпущено</x:v>
      </x:c>
      <x:c r="J92" s="33" t="str">
        <x:v>capacitance_pf: 330; rated_voltage_v: 100; dielectric: C0G; tolerance_pct: 5; temperature_min_c: -55; temperature_max_c: 125</x:v>
      </x:c>
      <x:c r="K92" s="33" t="str">
        <x:v>https://search.kemet.com/download/specsheet/C0603C331J1GACTU</x:v>
      </x:c>
      <x:c r="L92" s="33" t="str"/>
    </x:row>
    <x:row r="93" ht="38" customHeight="1">
      <x:c r="A93" s="2" t="str">
        <x:v>C304</x:v>
      </x:c>
      <x:c r="B93" s="2" t="str">
        <x:v>330p</x:v>
      </x:c>
      <x:c r="C93" s="2" t="str">
        <x:v>Да</x:v>
      </x:c>
      <x:c r="D93" s="8" t="str">
        <x:v>C0603C331J1GACTU</x:v>
      </x:c>
      <x:c r="E93" s="2" t="str">
        <x:v>KEMET</x:v>
      </x:c>
      <x:c r="F93" s="8" t="str">
        <x:v>0603</x:v>
      </x:c>
      <x:c r="G93" s="2" t="str">
        <x:v>SURFACE_MOUNT</x:v>
      </x:c>
      <x:c r="H93" s="2" t="str">
        <x:v>SELECTED_CATALOG_ITEM</x:v>
      </x:c>
      <x:c r="I93" s="2" t="str">
        <x:v>Не выпущено</x:v>
      </x:c>
      <x:c r="J93" s="31" t="str">
        <x:v>capacitance_pf: 330; rated_voltage_v: 100; dielectric: C0G; tolerance_pct: 5; temperature_min_c: -55; temperature_max_c: 125</x:v>
      </x:c>
      <x:c r="K93" s="31" t="str">
        <x:v>https://search.kemet.com/download/specsheet/C0603C331J1GACTU</x:v>
      </x:c>
      <x:c r="L93" s="31" t="str"/>
    </x:row>
    <x:row r="94" ht="38" customHeight="1">
      <x:c r="A94" s="12" t="str">
        <x:v>C305</x:v>
      </x:c>
      <x:c r="B94" s="12" t="str">
        <x:v>1300uF 50V</x:v>
      </x:c>
      <x:c r="C94" s="12" t="str">
        <x:v>Да</x:v>
      </x:c>
      <x:c r="D94" s="11" t="str">
        <x:v>UBY1H132MHL6</x:v>
      </x:c>
      <x:c r="E94" s="12" t="str">
        <x:v>Nichicon</x:v>
      </x:c>
      <x:c r="F94" s="11" t="str">
        <x:v>Radial_D16_H25_P7.5</x:v>
      </x:c>
      <x:c r="G94" s="12" t="str">
        <x:v>THROUGH_HOLE</x:v>
      </x:c>
      <x:c r="H94" s="12" t="str">
        <x:v>SELECTED_CONDITIONAL</x:v>
      </x:c>
      <x:c r="I94" s="12" t="str">
        <x:v>Не выпущено</x:v>
      </x:c>
      <x:c r="J94" s="33" t="str">
        <x:v>capacitance_pf: 1300000000; rated_voltage_v: 50; tolerance_pct: 20; temperature_min_c: -40; temperature_max_c: 135; diameter_mm: 16; body_height_mm: 25; lead_pitch_mm: 7.5; esr_max_mohm_20c: 33; esr_max_mohm_minus40c: 220; ripple_a_100khz_125c: 4.04; ripple_a_100khz_135c: 2.5</x:v>
      </x:c>
      <x:c r="K94" s="33" t="str">
        <x:v>https://www.nichicon.com/getmedia/640b351d-ceef-400c-b016-39f8657ea779/e-uby-DB.pdf</x:v>
      </x:c>
      <x:c r="L94" s="33" t="str">
        <x:v>1300uF replaces1200uF input bulk; +8.3% capacitance/inrush requires recheck. This is not the65V boost capacitor.</x:v>
      </x:c>
    </x:row>
    <x:row r="95" ht="38" customHeight="1">
      <x:c r="A95" s="2" t="str">
        <x:v>C306</x:v>
      </x:c>
      <x:c r="B95" s="2" t="str">
        <x:v>1300uF 50V</x:v>
      </x:c>
      <x:c r="C95" s="2" t="str">
        <x:v>Да</x:v>
      </x:c>
      <x:c r="D95" s="8" t="str">
        <x:v>UBY1H132MHL6</x:v>
      </x:c>
      <x:c r="E95" s="2" t="str">
        <x:v>Nichicon</x:v>
      </x:c>
      <x:c r="F95" s="8" t="str">
        <x:v>Radial_D16_H25_P7.5</x:v>
      </x:c>
      <x:c r="G95" s="2" t="str">
        <x:v>THROUGH_HOLE</x:v>
      </x:c>
      <x:c r="H95" s="2" t="str">
        <x:v>SELECTED_CONDITIONAL</x:v>
      </x:c>
      <x:c r="I95" s="2" t="str">
        <x:v>Не выпущено</x:v>
      </x:c>
      <x:c r="J95" s="31" t="str">
        <x:v>capacitance_pf: 1300000000; rated_voltage_v: 50; tolerance_pct: 20; temperature_min_c: -40; temperature_max_c: 135; diameter_mm: 16; body_height_mm: 25; lead_pitch_mm: 7.5; esr_max_mohm_20c: 33; esr_max_mohm_minus40c: 220; ripple_a_100khz_125c: 4.04; ripple_a_100khz_135c: 2.5</x:v>
      </x:c>
      <x:c r="K95" s="31" t="str">
        <x:v>https://www.nichicon.com/getmedia/640b351d-ceef-400c-b016-39f8657ea779/e-uby-DB.pdf</x:v>
      </x:c>
      <x:c r="L95" s="31" t="str">
        <x:v>1300uF replaces1200uF input bulk; +8.3% capacitance/inrush requires recheck. This is not the65V boost capacitor.</x:v>
      </x:c>
    </x:row>
    <x:row r="96" ht="38" customHeight="1">
      <x:c r="A96" s="12" t="str">
        <x:v>C307</x:v>
      </x:c>
      <x:c r="B96" s="12" t="str">
        <x:v>470uF</x:v>
      </x:c>
      <x:c r="C96" s="12" t="str">
        <x:v>Да</x:v>
      </x:c>
      <x:c r="D96" s="11" t="str">
        <x:v>UBY1K471MHL</x:v>
      </x:c>
      <x:c r="E96" s="12" t="str">
        <x:v>Nichicon</x:v>
      </x:c>
      <x:c r="F96" s="11" t="str">
        <x:v>Radial_D16_H20_P7.5</x:v>
      </x:c>
      <x:c r="G96" s="12" t="str">
        <x:v>THROUGH_HOLE</x:v>
      </x:c>
      <x:c r="H96" s="12" t="str">
        <x:v>SELECTED_CONDITIONAL</x:v>
      </x:c>
      <x:c r="I96" s="12" t="str">
        <x:v>Не выпущено</x:v>
      </x:c>
      <x:c r="J96" s="33" t="str">
        <x:v>capacitance_pf: 470000000; rated_voltage_v: 80; tolerance_pct: 20; temperature_min_c: -40; temperature_max_c: 135; diameter_mm: 16; body_height_mm: 20; lead_pitch_mm: 7.5; esr_max_mohm_20c: 53; esr_max_mohm_minus40c: 340; ripple_a_100khz_125c: 2.14; ripple_a_100khz_135c: 1.91</x:v>
      </x:c>
      <x:c r="K96" s="33" t="str">
        <x:v>https://www.nichicon.com/getmedia/640b351d-ceef-400c-b016-39f8657ea779/e-uby-DB.pdf; https://www.lcsc.com/product-detail/C5110766.html</x:v>
      </x:c>
      <x:c r="L96" s="33" t="str">
        <x:v>80V rating on nominal65V boost requires measured overshoot and ripple/temperature qualification. Fits source16x25 envelope with shorter20mm body.</x:v>
      </x:c>
    </x:row>
    <x:row r="97" ht="38" customHeight="1">
      <x:c r="A97" s="2" t="str">
        <x:v>C308</x:v>
      </x:c>
      <x:c r="B97" s="2" t="str">
        <x:v>0.22uF</x:v>
      </x:c>
      <x:c r="C97" s="2" t="str">
        <x:v>Да</x:v>
      </x:c>
      <x:c r="D97" s="8" t="str">
        <x:v>C0805C224K1RACTU</x:v>
      </x:c>
      <x:c r="E97" s="2" t="str">
        <x:v>KEMET</x:v>
      </x:c>
      <x:c r="F97" s="8" t="str">
        <x:v>0805</x:v>
      </x:c>
      <x:c r="G97" s="2" t="str">
        <x:v>SURFACE_MOUNT</x:v>
      </x:c>
      <x:c r="H97" s="2" t="str">
        <x:v>SELECTED_CATALOG_ITEM</x:v>
      </x:c>
      <x:c r="I97" s="2" t="str">
        <x:v>Не выпущено</x:v>
      </x:c>
      <x:c r="J97" s="31" t="str">
        <x:v>capacitance_pf: 220000; rated_voltage_v: 100; dielectric: X7R; tolerance_pct: 10; temperature_min_c: -55; temperature_max_c: 125</x:v>
      </x:c>
      <x:c r="K97" s="31" t="str">
        <x:v>https://content.kemet.com/datasheets/CER_ENG_KIT_30.pdf</x:v>
      </x:c>
      <x:c r="L97" s="31" t="str"/>
    </x:row>
    <x:row r="98" ht="38" customHeight="1">
      <x:c r="A98" s="12" t="str">
        <x:v>C309</x:v>
      </x:c>
      <x:c r="B98" s="12" t="str">
        <x:v>470uF</x:v>
      </x:c>
      <x:c r="C98" s="12" t="str">
        <x:v>Да</x:v>
      </x:c>
      <x:c r="D98" s="11" t="str">
        <x:v>UBY1K471MHL</x:v>
      </x:c>
      <x:c r="E98" s="12" t="str">
        <x:v>Nichicon</x:v>
      </x:c>
      <x:c r="F98" s="11" t="str">
        <x:v>Radial_D16_H20_P7.5</x:v>
      </x:c>
      <x:c r="G98" s="12" t="str">
        <x:v>THROUGH_HOLE</x:v>
      </x:c>
      <x:c r="H98" s="12" t="str">
        <x:v>SELECTED_CONDITIONAL</x:v>
      </x:c>
      <x:c r="I98" s="12" t="str">
        <x:v>Не выпущено</x:v>
      </x:c>
      <x:c r="J98" s="33" t="str">
        <x:v>capacitance_pf: 470000000; rated_voltage_v: 80; tolerance_pct: 20; temperature_min_c: -40; temperature_max_c: 135; diameter_mm: 16; body_height_mm: 20; lead_pitch_mm: 7.5; esr_max_mohm_20c: 53; esr_max_mohm_minus40c: 340; ripple_a_100khz_125c: 2.14; ripple_a_100khz_135c: 1.91</x:v>
      </x:c>
      <x:c r="K98" s="33" t="str">
        <x:v>https://www.nichicon.com/getmedia/640b351d-ceef-400c-b016-39f8657ea779/e-uby-DB.pdf; https://www.lcsc.com/product-detail/C5110766.html</x:v>
      </x:c>
      <x:c r="L98" s="33" t="str">
        <x:v>80V rating on nominal65V boost requires measured overshoot and ripple/temperature qualification. Fits source16x25 envelope with shorter20mm body.</x:v>
      </x:c>
    </x:row>
    <x:row r="99" ht="38" customHeight="1">
      <x:c r="A99" s="2" t="str">
        <x:v>C310</x:v>
      </x:c>
      <x:c r="B99" s="2" t="str">
        <x:v>100n</x:v>
      </x:c>
      <x:c r="C99" s="2" t="str">
        <x:v>Да</x:v>
      </x:c>
      <x:c r="D99" s="8" t="str">
        <x:v>C0603C104K5RACTU</x:v>
      </x:c>
      <x:c r="E99" s="2" t="str">
        <x:v>KEMET</x:v>
      </x:c>
      <x:c r="F99" s="8" t="str">
        <x:v>0603</x:v>
      </x:c>
      <x:c r="G99" s="2" t="str">
        <x:v>SURFACE_MOUNT</x:v>
      </x:c>
      <x:c r="H99" s="2" t="str">
        <x:v>SELECTED_CATALOG_ITEM</x:v>
      </x:c>
      <x:c r="I99" s="2" t="str">
        <x:v>Не выпущено</x:v>
      </x:c>
      <x:c r="J99" s="31" t="str">
        <x:v>capacitance_pf: 100000; rated_voltage_v: 50; dielectric: X7R; tolerance_pct: 10; temperature_min_c: -55; temperature_max_c: 125</x:v>
      </x:c>
      <x:c r="K99" s="31" t="str">
        <x:v>https://search.kemet.com/download/specsheet/C0603C104K5RACTU</x:v>
      </x:c>
      <x:c r="L99" s="31" t="str"/>
    </x:row>
    <x:row r="100" ht="38" customHeight="1">
      <x:c r="A100" s="12" t="str">
        <x:v>C311</x:v>
      </x:c>
      <x:c r="B100" s="12" t="str">
        <x:v>330p</x:v>
      </x:c>
      <x:c r="C100" s="12" t="str">
        <x:v>Да</x:v>
      </x:c>
      <x:c r="D100" s="11" t="str">
        <x:v>C0603C331J1GACTU</x:v>
      </x:c>
      <x:c r="E100" s="12" t="str">
        <x:v>KEMET</x:v>
      </x:c>
      <x:c r="F100" s="11" t="str">
        <x:v>0603</x:v>
      </x:c>
      <x:c r="G100" s="12" t="str">
        <x:v>SURFACE_MOUNT</x:v>
      </x:c>
      <x:c r="H100" s="12" t="str">
        <x:v>SELECTED_CATALOG_ITEM</x:v>
      </x:c>
      <x:c r="I100" s="12" t="str">
        <x:v>Не выпущено</x:v>
      </x:c>
      <x:c r="J100" s="33" t="str">
        <x:v>capacitance_pf: 330; rated_voltage_v: 100; dielectric: C0G; tolerance_pct: 5; temperature_min_c: -55; temperature_max_c: 125</x:v>
      </x:c>
      <x:c r="K100" s="33" t="str">
        <x:v>https://search.kemet.com/download/specsheet/C0603C331J1GACTU</x:v>
      </x:c>
      <x:c r="L100" s="33" t="str"/>
    </x:row>
    <x:row r="101" ht="38" customHeight="1">
      <x:c r="A101" s="2" t="str">
        <x:v>C312</x:v>
      </x:c>
      <x:c r="B101" s="2" t="str">
        <x:v>4.7u</x:v>
      </x:c>
      <x:c r="C101" s="2" t="str">
        <x:v>Да</x:v>
      </x:c>
      <x:c r="D101" s="8" t="str">
        <x:v>GMC10X7R475K16NT</x:v>
      </x:c>
      <x:c r="E101" s="2" t="str">
        <x:v>Cal-Chip Electronics</x:v>
      </x:c>
      <x:c r="F101" s="8" t="str">
        <x:v>0603</x:v>
      </x:c>
      <x:c r="G101" s="2" t="str">
        <x:v>SURFACE_MOUNT</x:v>
      </x:c>
      <x:c r="H101" s="2" t="str">
        <x:v>SELECTED_CATALOG_ITEM</x:v>
      </x:c>
      <x:c r="I101" s="2" t="str">
        <x:v>Не выпущено</x:v>
      </x:c>
      <x:c r="J101" s="31" t="str">
        <x:v>capacitance_pf: 4700000; rated_voltage_v: 16; dielectric: X7R; tolerance_pct: 10; temperature_min_c: -55; temperature_max_c: 125; effective_capacitance_min_pf: None; dc_bias_qualification: PENDING_AT_ACTUAL_NODE_VOLTAGE</x:v>
      </x:c>
      <x:c r="K101" s="31" t="str">
        <x:v>https://www.digikey.com/en/products/detail/cal-chip-electronics-inc/GMC10X7R475K16NT/22471820</x:v>
      </x:c>
      <x:c r="L101" s="31" t="str"/>
    </x:row>
    <x:row r="102" ht="38" customHeight="1">
      <x:c r="A102" s="12" t="str">
        <x:v>C313</x:v>
      </x:c>
      <x:c r="B102" s="12" t="str">
        <x:v>100n</x:v>
      </x:c>
      <x:c r="C102" s="12" t="str">
        <x:v>Да</x:v>
      </x:c>
      <x:c r="D102" s="11" t="str">
        <x:v>C0603C104K5RACTU</x:v>
      </x:c>
      <x:c r="E102" s="12" t="str">
        <x:v>KEMET</x:v>
      </x:c>
      <x:c r="F102" s="11" t="str">
        <x:v>0603</x:v>
      </x:c>
      <x:c r="G102" s="12" t="str">
        <x:v>SURFACE_MOUNT</x:v>
      </x:c>
      <x:c r="H102" s="12" t="str">
        <x:v>SELECTED_CATALOG_ITEM</x:v>
      </x:c>
      <x:c r="I102" s="12" t="str">
        <x:v>Не выпущено</x:v>
      </x:c>
      <x:c r="J102" s="33" t="str">
        <x:v>capacitance_pf: 100000; rated_voltage_v: 50; dielectric: X7R; tolerance_pct: 10; temperature_min_c: -55; temperature_max_c: 125</x:v>
      </x:c>
      <x:c r="K102" s="33" t="str">
        <x:v>https://search.kemet.com/download/specsheet/C0603C104K5RACTU</x:v>
      </x:c>
      <x:c r="L102" s="33" t="str"/>
    </x:row>
    <x:row r="103" ht="38" customHeight="1">
      <x:c r="A103" s="2" t="str">
        <x:v>C314</x:v>
      </x:c>
      <x:c r="B103" s="2" t="str">
        <x:v>100n</x:v>
      </x:c>
      <x:c r="C103" s="2" t="str">
        <x:v>Да</x:v>
      </x:c>
      <x:c r="D103" s="8" t="str">
        <x:v>C0603C104K5RACTU</x:v>
      </x:c>
      <x:c r="E103" s="2" t="str">
        <x:v>KEMET</x:v>
      </x:c>
      <x:c r="F103" s="8" t="str">
        <x:v>0603</x:v>
      </x:c>
      <x:c r="G103" s="2" t="str">
        <x:v>SURFACE_MOUNT</x:v>
      </x:c>
      <x:c r="H103" s="2" t="str">
        <x:v>SELECTED_CATALOG_ITEM</x:v>
      </x:c>
      <x:c r="I103" s="2" t="str">
        <x:v>Не выпущено</x:v>
      </x:c>
      <x:c r="J103" s="31" t="str">
        <x:v>capacitance_pf: 100000; rated_voltage_v: 50; dielectric: X7R; tolerance_pct: 10; temperature_min_c: -55; temperature_max_c: 125</x:v>
      </x:c>
      <x:c r="K103" s="31" t="str">
        <x:v>https://search.kemet.com/download/specsheet/C0603C104K5RACTU</x:v>
      </x:c>
      <x:c r="L103" s="31" t="str"/>
    </x:row>
    <x:row r="104" ht="38" customHeight="1">
      <x:c r="A104" s="12" t="str">
        <x:v>C315</x:v>
      </x:c>
      <x:c r="B104" s="12" t="str">
        <x:v>100n</x:v>
      </x:c>
      <x:c r="C104" s="12" t="str">
        <x:v>Да</x:v>
      </x:c>
      <x:c r="D104" s="11" t="str">
        <x:v>C0603C104K5RACTU</x:v>
      </x:c>
      <x:c r="E104" s="12" t="str">
        <x:v>KEMET</x:v>
      </x:c>
      <x:c r="F104" s="11" t="str">
        <x:v>0603</x:v>
      </x:c>
      <x:c r="G104" s="12" t="str">
        <x:v>SURFACE_MOUNT</x:v>
      </x:c>
      <x:c r="H104" s="12" t="str">
        <x:v>SELECTED_CATALOG_ITEM</x:v>
      </x:c>
      <x:c r="I104" s="12" t="str">
        <x:v>Не выпущено</x:v>
      </x:c>
      <x:c r="J104" s="33" t="str">
        <x:v>capacitance_pf: 100000; rated_voltage_v: 50; dielectric: X7R; tolerance_pct: 10; temperature_min_c: -55; temperature_max_c: 125</x:v>
      </x:c>
      <x:c r="K104" s="33" t="str">
        <x:v>https://search.kemet.com/download/specsheet/C0603C104K5RACTU</x:v>
      </x:c>
      <x:c r="L104" s="33" t="str"/>
    </x:row>
    <x:row r="105" ht="38" customHeight="1">
      <x:c r="A105" s="2" t="str">
        <x:v>C316</x:v>
      </x:c>
      <x:c r="B105" s="2" t="str">
        <x:v>0.33uF</x:v>
      </x:c>
      <x:c r="C105" s="2" t="str">
        <x:v>Да</x:v>
      </x:c>
      <x:c r="D105" s="8" t="str">
        <x:v>0603B334K250NT</x:v>
      </x:c>
      <x:c r="E105" s="2" t="str">
        <x:v>FH</x:v>
      </x:c>
      <x:c r="F105" s="8" t="str">
        <x:v>0603</x:v>
      </x:c>
      <x:c r="G105" s="2" t="str">
        <x:v>SURFACE_MOUNT</x:v>
      </x:c>
      <x:c r="H105" s="2" t="str">
        <x:v>SELECTED_CATALOG_ITEM</x:v>
      </x:c>
      <x:c r="I105" s="2" t="str">
        <x:v>Не выпущено</x:v>
      </x:c>
      <x:c r="J105" s="31" t="str">
        <x:v>capacitance_pf: 330000; rated_voltage_v: 25; dielectric: X7R; tolerance_pct: 10; temperature_min_c: -55; temperature_max_c: 125</x:v>
      </x:c>
      <x:c r="K105" s="31" t="str">
        <x:v>https://www.lcsc.com/product-detail/C1615.html</x:v>
      </x:c>
      <x:c r="L105" s="31" t="str"/>
    </x:row>
    <x:row r="106" ht="38" customHeight="1">
      <x:c r="A106" s="12" t="str">
        <x:v>C317</x:v>
      </x:c>
      <x:c r="B106" s="12" t="str">
        <x:v>0.33uF</x:v>
      </x:c>
      <x:c r="C106" s="12" t="str">
        <x:v>Да</x:v>
      </x:c>
      <x:c r="D106" s="11" t="str">
        <x:v>0603B334K250NT</x:v>
      </x:c>
      <x:c r="E106" s="12" t="str">
        <x:v>FH</x:v>
      </x:c>
      <x:c r="F106" s="11" t="str">
        <x:v>0603</x:v>
      </x:c>
      <x:c r="G106" s="12" t="str">
        <x:v>SURFACE_MOUNT</x:v>
      </x:c>
      <x:c r="H106" s="12" t="str">
        <x:v>SELECTED_CATALOG_ITEM</x:v>
      </x:c>
      <x:c r="I106" s="12" t="str">
        <x:v>Не выпущено</x:v>
      </x:c>
      <x:c r="J106" s="33" t="str">
        <x:v>capacitance_pf: 330000; rated_voltage_v: 25; dielectric: X7R; tolerance_pct: 10; temperature_min_c: -55; temperature_max_c: 125</x:v>
      </x:c>
      <x:c r="K106" s="33" t="str">
        <x:v>https://www.lcsc.com/product-detail/C1615.html</x:v>
      </x:c>
      <x:c r="L106" s="33" t="str"/>
    </x:row>
    <x:row r="107" ht="38" customHeight="1">
      <x:c r="A107" s="2" t="str">
        <x:v>C318</x:v>
      </x:c>
      <x:c r="B107" s="2" t="str">
        <x:v>0.33uF</x:v>
      </x:c>
      <x:c r="C107" s="2" t="str">
        <x:v>Да</x:v>
      </x:c>
      <x:c r="D107" s="8" t="str">
        <x:v>0603B334K250NT</x:v>
      </x:c>
      <x:c r="E107" s="2" t="str">
        <x:v>FH</x:v>
      </x:c>
      <x:c r="F107" s="8" t="str">
        <x:v>0603</x:v>
      </x:c>
      <x:c r="G107" s="2" t="str">
        <x:v>SURFACE_MOUNT</x:v>
      </x:c>
      <x:c r="H107" s="2" t="str">
        <x:v>SELECTED_CATALOG_ITEM</x:v>
      </x:c>
      <x:c r="I107" s="2" t="str">
        <x:v>Не выпущено</x:v>
      </x:c>
      <x:c r="J107" s="31" t="str">
        <x:v>capacitance_pf: 330000; rated_voltage_v: 25; dielectric: X7R; tolerance_pct: 10; temperature_min_c: -55; temperature_max_c: 125</x:v>
      </x:c>
      <x:c r="K107" s="31" t="str">
        <x:v>https://www.lcsc.com/product-detail/C1615.html</x:v>
      </x:c>
      <x:c r="L107" s="31" t="str"/>
    </x:row>
    <x:row r="108" ht="38" customHeight="1">
      <x:c r="A108" s="12" t="str">
        <x:v>C319</x:v>
      </x:c>
      <x:c r="B108" s="12" t="str">
        <x:v>0.33uF</x:v>
      </x:c>
      <x:c r="C108" s="12" t="str">
        <x:v>Да</x:v>
      </x:c>
      <x:c r="D108" s="11" t="str">
        <x:v>0603B334K250NT</x:v>
      </x:c>
      <x:c r="E108" s="12" t="str">
        <x:v>FH</x:v>
      </x:c>
      <x:c r="F108" s="11" t="str">
        <x:v>0603</x:v>
      </x:c>
      <x:c r="G108" s="12" t="str">
        <x:v>SURFACE_MOUNT</x:v>
      </x:c>
      <x:c r="H108" s="12" t="str">
        <x:v>SELECTED_CATALOG_ITEM</x:v>
      </x:c>
      <x:c r="I108" s="12" t="str">
        <x:v>Не выпущено</x:v>
      </x:c>
      <x:c r="J108" s="33" t="str">
        <x:v>capacitance_pf: 330000; rated_voltage_v: 25; dielectric: X7R; tolerance_pct: 10; temperature_min_c: -55; temperature_max_c: 125</x:v>
      </x:c>
      <x:c r="K108" s="33" t="str">
        <x:v>https://www.lcsc.com/product-detail/C1615.html</x:v>
      </x:c>
      <x:c r="L108" s="33" t="str"/>
    </x:row>
    <x:row r="109" ht="38" customHeight="1">
      <x:c r="A109" s="2" t="str">
        <x:v>C320</x:v>
      </x:c>
      <x:c r="B109" s="2" t="str">
        <x:v>4700p</x:v>
      </x:c>
      <x:c r="C109" s="2" t="str">
        <x:v>Да</x:v>
      </x:c>
      <x:c r="D109" s="8" t="str">
        <x:v>C0603C472J1GACTU</x:v>
      </x:c>
      <x:c r="E109" s="2" t="str">
        <x:v>KEMET</x:v>
      </x:c>
      <x:c r="F109" s="8" t="str">
        <x:v>0603</x:v>
      </x:c>
      <x:c r="G109" s="2" t="str">
        <x:v>SURFACE_MOUNT</x:v>
      </x:c>
      <x:c r="H109" s="2" t="str">
        <x:v>SELECTED_CATALOG_ITEM</x:v>
      </x:c>
      <x:c r="I109" s="2" t="str">
        <x:v>Не выпущено</x:v>
      </x:c>
      <x:c r="J109" s="31" t="str">
        <x:v>capacitance_pf: 4700; rated_voltage_v: 100; dielectric: C0G; tolerance_pct: 5; temperature_min_c: -55; temperature_max_c: 125</x:v>
      </x:c>
      <x:c r="K109" s="31" t="str">
        <x:v>https://www.digikey.com/en/products/detail/kemet/C0603C472J1GACTU/3737137</x:v>
      </x:c>
      <x:c r="L109" s="31" t="str"/>
    </x:row>
    <x:row r="110" ht="38" customHeight="1">
      <x:c r="A110" s="12" t="str">
        <x:v>C321</x:v>
      </x:c>
      <x:c r="B110" s="12" t="str">
        <x:v>4700p</x:v>
      </x:c>
      <x:c r="C110" s="12" t="str">
        <x:v>Да</x:v>
      </x:c>
      <x:c r="D110" s="11" t="str">
        <x:v>C0603C472J1GACTU</x:v>
      </x:c>
      <x:c r="E110" s="12" t="str">
        <x:v>KEMET</x:v>
      </x:c>
      <x:c r="F110" s="11" t="str">
        <x:v>0603</x:v>
      </x:c>
      <x:c r="G110" s="12" t="str">
        <x:v>SURFACE_MOUNT</x:v>
      </x:c>
      <x:c r="H110" s="12" t="str">
        <x:v>SELECTED_CATALOG_ITEM</x:v>
      </x:c>
      <x:c r="I110" s="12" t="str">
        <x:v>Не выпущено</x:v>
      </x:c>
      <x:c r="J110" s="33" t="str">
        <x:v>capacitance_pf: 4700; rated_voltage_v: 100; dielectric: C0G; tolerance_pct: 5; temperature_min_c: -55; temperature_max_c: 125</x:v>
      </x:c>
      <x:c r="K110" s="33" t="str">
        <x:v>https://www.digikey.com/en/products/detail/kemet/C0603C472J1GACTU/3737137</x:v>
      </x:c>
      <x:c r="L110" s="33" t="str"/>
    </x:row>
    <x:row r="111" ht="38" customHeight="1">
      <x:c r="A111" s="2" t="str">
        <x:v>C322</x:v>
      </x:c>
      <x:c r="B111" s="2" t="str">
        <x:v>4700p</x:v>
      </x:c>
      <x:c r="C111" s="2" t="str">
        <x:v>Да</x:v>
      </x:c>
      <x:c r="D111" s="8" t="str">
        <x:v>C0603C472J1GACTU</x:v>
      </x:c>
      <x:c r="E111" s="2" t="str">
        <x:v>KEMET</x:v>
      </x:c>
      <x:c r="F111" s="8" t="str">
        <x:v>0603</x:v>
      </x:c>
      <x:c r="G111" s="2" t="str">
        <x:v>SURFACE_MOUNT</x:v>
      </x:c>
      <x:c r="H111" s="2" t="str">
        <x:v>SELECTED_CATALOG_ITEM</x:v>
      </x:c>
      <x:c r="I111" s="2" t="str">
        <x:v>Не выпущено</x:v>
      </x:c>
      <x:c r="J111" s="31" t="str">
        <x:v>capacitance_pf: 4700; rated_voltage_v: 100; dielectric: C0G; tolerance_pct: 5; temperature_min_c: -55; temperature_max_c: 125</x:v>
      </x:c>
      <x:c r="K111" s="31" t="str">
        <x:v>https://www.digikey.com/en/products/detail/kemet/C0603C472J1GACTU/3737137</x:v>
      </x:c>
      <x:c r="L111" s="31" t="str"/>
    </x:row>
    <x:row r="112" ht="38" customHeight="1">
      <x:c r="A112" s="12" t="str">
        <x:v>C323</x:v>
      </x:c>
      <x:c r="B112" s="12" t="str">
        <x:v>4700p</x:v>
      </x:c>
      <x:c r="C112" s="12" t="str">
        <x:v>Да</x:v>
      </x:c>
      <x:c r="D112" s="11" t="str">
        <x:v>C0603C472J1GACTU</x:v>
      </x:c>
      <x:c r="E112" s="12" t="str">
        <x:v>KEMET</x:v>
      </x:c>
      <x:c r="F112" s="11" t="str">
        <x:v>0603</x:v>
      </x:c>
      <x:c r="G112" s="12" t="str">
        <x:v>SURFACE_MOUNT</x:v>
      </x:c>
      <x:c r="H112" s="12" t="str">
        <x:v>SELECTED_CATALOG_ITEM</x:v>
      </x:c>
      <x:c r="I112" s="12" t="str">
        <x:v>Не выпущено</x:v>
      </x:c>
      <x:c r="J112" s="33" t="str">
        <x:v>capacitance_pf: 4700; rated_voltage_v: 100; dielectric: C0G; tolerance_pct: 5; temperature_min_c: -55; temperature_max_c: 125</x:v>
      </x:c>
      <x:c r="K112" s="33" t="str">
        <x:v>https://www.digikey.com/en/products/detail/kemet/C0603C472J1GACTU/3737137</x:v>
      </x:c>
      <x:c r="L112" s="33" t="str"/>
    </x:row>
    <x:row r="113" ht="38" customHeight="1">
      <x:c r="A113" s="2" t="str">
        <x:v>C324</x:v>
      </x:c>
      <x:c r="B113" s="2" t="str">
        <x:v>4700p</x:v>
      </x:c>
      <x:c r="C113" s="2" t="str">
        <x:v>Да</x:v>
      </x:c>
      <x:c r="D113" s="8" t="str">
        <x:v>C0603C472J1GACTU</x:v>
      </x:c>
      <x:c r="E113" s="2" t="str">
        <x:v>KEMET</x:v>
      </x:c>
      <x:c r="F113" s="8" t="str">
        <x:v>0603</x:v>
      </x:c>
      <x:c r="G113" s="2" t="str">
        <x:v>SURFACE_MOUNT</x:v>
      </x:c>
      <x:c r="H113" s="2" t="str">
        <x:v>SELECTED_CATALOG_ITEM</x:v>
      </x:c>
      <x:c r="I113" s="2" t="str">
        <x:v>Не выпущено</x:v>
      </x:c>
      <x:c r="J113" s="31" t="str">
        <x:v>capacitance_pf: 4700; rated_voltage_v: 100; dielectric: C0G; tolerance_pct: 5; temperature_min_c: -55; temperature_max_c: 125</x:v>
      </x:c>
      <x:c r="K113" s="31" t="str">
        <x:v>https://www.digikey.com/en/products/detail/kemet/C0603C472J1GACTU/3737137</x:v>
      </x:c>
      <x:c r="L113" s="31" t="str"/>
    </x:row>
    <x:row r="114" ht="38" customHeight="1">
      <x:c r="A114" s="12" t="str">
        <x:v>C325</x:v>
      </x:c>
      <x:c r="B114" s="12" t="str">
        <x:v>4700p</x:v>
      </x:c>
      <x:c r="C114" s="12" t="str">
        <x:v>Да</x:v>
      </x:c>
      <x:c r="D114" s="11" t="str">
        <x:v>C0603C472J1GACTU</x:v>
      </x:c>
      <x:c r="E114" s="12" t="str">
        <x:v>KEMET</x:v>
      </x:c>
      <x:c r="F114" s="11" t="str">
        <x:v>0603</x:v>
      </x:c>
      <x:c r="G114" s="12" t="str">
        <x:v>SURFACE_MOUNT</x:v>
      </x:c>
      <x:c r="H114" s="12" t="str">
        <x:v>SELECTED_CATALOG_ITEM</x:v>
      </x:c>
      <x:c r="I114" s="12" t="str">
        <x:v>Не выпущено</x:v>
      </x:c>
      <x:c r="J114" s="33" t="str">
        <x:v>capacitance_pf: 4700; rated_voltage_v: 100; dielectric: C0G; tolerance_pct: 5; temperature_min_c: -55; temperature_max_c: 125</x:v>
      </x:c>
      <x:c r="K114" s="33" t="str">
        <x:v>https://www.digikey.com/en/products/detail/kemet/C0603C472J1GACTU/3737137</x:v>
      </x:c>
      <x:c r="L114" s="33" t="str"/>
    </x:row>
    <x:row r="115" ht="38" customHeight="1">
      <x:c r="A115" s="2" t="str">
        <x:v>C326</x:v>
      </x:c>
      <x:c r="B115" s="2" t="str">
        <x:v>4700p</x:v>
      </x:c>
      <x:c r="C115" s="2" t="str">
        <x:v>Да</x:v>
      </x:c>
      <x:c r="D115" s="8" t="str">
        <x:v>C0603C472J1GACTU</x:v>
      </x:c>
      <x:c r="E115" s="2" t="str">
        <x:v>KEMET</x:v>
      </x:c>
      <x:c r="F115" s="8" t="str">
        <x:v>0603</x:v>
      </x:c>
      <x:c r="G115" s="2" t="str">
        <x:v>SURFACE_MOUNT</x:v>
      </x:c>
      <x:c r="H115" s="2" t="str">
        <x:v>SELECTED_CATALOG_ITEM</x:v>
      </x:c>
      <x:c r="I115" s="2" t="str">
        <x:v>Не выпущено</x:v>
      </x:c>
      <x:c r="J115" s="31" t="str">
        <x:v>capacitance_pf: 4700; rated_voltage_v: 100; dielectric: C0G; tolerance_pct: 5; temperature_min_c: -55; temperature_max_c: 125</x:v>
      </x:c>
      <x:c r="K115" s="31" t="str">
        <x:v>https://www.digikey.com/en/products/detail/kemet/C0603C472J1GACTU/3737137</x:v>
      </x:c>
      <x:c r="L115" s="31" t="str"/>
    </x:row>
    <x:row r="116" ht="38" customHeight="1">
      <x:c r="A116" s="12" t="str">
        <x:v>C328</x:v>
      </x:c>
      <x:c r="B116" s="12" t="str">
        <x:v>1000pF</x:v>
      </x:c>
      <x:c r="C116" s="12" t="str">
        <x:v>Да</x:v>
      </x:c>
      <x:c r="D116" s="11" t="str">
        <x:v>C0603C102J1GACTU</x:v>
      </x:c>
      <x:c r="E116" s="12" t="str">
        <x:v>KEMET</x:v>
      </x:c>
      <x:c r="F116" s="11" t="str">
        <x:v>0603</x:v>
      </x:c>
      <x:c r="G116" s="12" t="str">
        <x:v>SURFACE_MOUNT</x:v>
      </x:c>
      <x:c r="H116" s="12" t="str">
        <x:v>SELECTED_CATALOG_ITEM</x:v>
      </x:c>
      <x:c r="I116" s="12" t="str">
        <x:v>Не выпущено</x:v>
      </x:c>
      <x:c r="J116" s="33" t="str">
        <x:v>capacitance_pf: 1000; rated_voltage_v: 100; dielectric: C0G; tolerance_pct: 5; temperature_min_c: -55; temperature_max_c: 125</x:v>
      </x:c>
      <x:c r="K116" s="33" t="str">
        <x:v>https://search.kemet.com/download/specsheet/C0603C102J1GACTU</x:v>
      </x:c>
      <x:c r="L116" s="33" t="str"/>
    </x:row>
    <x:row r="117" ht="38" customHeight="1">
      <x:c r="A117" s="2" t="str">
        <x:v>C329</x:v>
      </x:c>
      <x:c r="B117" s="2" t="str">
        <x:v>1000pF</x:v>
      </x:c>
      <x:c r="C117" s="2" t="str">
        <x:v>Да</x:v>
      </x:c>
      <x:c r="D117" s="8" t="str">
        <x:v>C0603C102J1GACTU</x:v>
      </x:c>
      <x:c r="E117" s="2" t="str">
        <x:v>KEMET</x:v>
      </x:c>
      <x:c r="F117" s="8" t="str">
        <x:v>0603</x:v>
      </x:c>
      <x:c r="G117" s="2" t="str">
        <x:v>SURFACE_MOUNT</x:v>
      </x:c>
      <x:c r="H117" s="2" t="str">
        <x:v>SELECTED_CATALOG_ITEM</x:v>
      </x:c>
      <x:c r="I117" s="2" t="str">
        <x:v>Не выпущено</x:v>
      </x:c>
      <x:c r="J117" s="31" t="str">
        <x:v>capacitance_pf: 1000; rated_voltage_v: 100; dielectric: C0G; tolerance_pct: 5; temperature_min_c: -55; temperature_max_c: 125</x:v>
      </x:c>
      <x:c r="K117" s="31" t="str">
        <x:v>https://search.kemet.com/download/specsheet/C0603C102J1GACTU</x:v>
      </x:c>
      <x:c r="L117" s="31" t="str"/>
    </x:row>
    <x:row r="118" ht="38" customHeight="1">
      <x:c r="A118" s="12" t="str">
        <x:v>C330</x:v>
      </x:c>
      <x:c r="B118" s="12" t="str">
        <x:v>1000pF</x:v>
      </x:c>
      <x:c r="C118" s="12" t="str">
        <x:v>Да</x:v>
      </x:c>
      <x:c r="D118" s="11" t="str">
        <x:v>C0603C102J1GACTU</x:v>
      </x:c>
      <x:c r="E118" s="12" t="str">
        <x:v>KEMET</x:v>
      </x:c>
      <x:c r="F118" s="11" t="str">
        <x:v>0603</x:v>
      </x:c>
      <x:c r="G118" s="12" t="str">
        <x:v>SURFACE_MOUNT</x:v>
      </x:c>
      <x:c r="H118" s="12" t="str">
        <x:v>SELECTED_CATALOG_ITEM</x:v>
      </x:c>
      <x:c r="I118" s="12" t="str">
        <x:v>Не выпущено</x:v>
      </x:c>
      <x:c r="J118" s="33" t="str">
        <x:v>capacitance_pf: 1000; rated_voltage_v: 100; dielectric: C0G; tolerance_pct: 5; temperature_min_c: -55; temperature_max_c: 125</x:v>
      </x:c>
      <x:c r="K118" s="33" t="str">
        <x:v>https://search.kemet.com/download/specsheet/C0603C102J1GACTU</x:v>
      </x:c>
      <x:c r="L118" s="33" t="str"/>
    </x:row>
    <x:row r="119" ht="38" customHeight="1">
      <x:c r="A119" s="2" t="str">
        <x:v>C331</x:v>
      </x:c>
      <x:c r="B119" s="2" t="str">
        <x:v>1000pF</x:v>
      </x:c>
      <x:c r="C119" s="2" t="str">
        <x:v>Да</x:v>
      </x:c>
      <x:c r="D119" s="8" t="str">
        <x:v>C0603C102J1GACTU</x:v>
      </x:c>
      <x:c r="E119" s="2" t="str">
        <x:v>KEMET</x:v>
      </x:c>
      <x:c r="F119" s="8" t="str">
        <x:v>0603</x:v>
      </x:c>
      <x:c r="G119" s="2" t="str">
        <x:v>SURFACE_MOUNT</x:v>
      </x:c>
      <x:c r="H119" s="2" t="str">
        <x:v>SELECTED_CATALOG_ITEM</x:v>
      </x:c>
      <x:c r="I119" s="2" t="str">
        <x:v>Не выпущено</x:v>
      </x:c>
      <x:c r="J119" s="31" t="str">
        <x:v>capacitance_pf: 1000; rated_voltage_v: 100; dielectric: C0G; tolerance_pct: 5; temperature_min_c: -55; temperature_max_c: 125</x:v>
      </x:c>
      <x:c r="K119" s="31" t="str">
        <x:v>https://search.kemet.com/download/specsheet/C0603C102J1GACTU</x:v>
      </x:c>
      <x:c r="L119" s="31" t="str"/>
    </x:row>
    <x:row r="120" ht="38" customHeight="1">
      <x:c r="A120" s="12" t="str">
        <x:v>C332</x:v>
      </x:c>
      <x:c r="B120" s="12" t="str">
        <x:v>1000pF</x:v>
      </x:c>
      <x:c r="C120" s="12" t="str">
        <x:v>Да</x:v>
      </x:c>
      <x:c r="D120" s="11" t="str">
        <x:v>C0603C102J1GACTU</x:v>
      </x:c>
      <x:c r="E120" s="12" t="str">
        <x:v>KEMET</x:v>
      </x:c>
      <x:c r="F120" s="11" t="str">
        <x:v>0603</x:v>
      </x:c>
      <x:c r="G120" s="12" t="str">
        <x:v>SURFACE_MOUNT</x:v>
      </x:c>
      <x:c r="H120" s="12" t="str">
        <x:v>SELECTED_CATALOG_ITEM</x:v>
      </x:c>
      <x:c r="I120" s="12" t="str">
        <x:v>Не выпущено</x:v>
      </x:c>
      <x:c r="J120" s="33" t="str">
        <x:v>capacitance_pf: 1000; rated_voltage_v: 100; dielectric: C0G; tolerance_pct: 5; temperature_min_c: -55; temperature_max_c: 125</x:v>
      </x:c>
      <x:c r="K120" s="33" t="str">
        <x:v>https://search.kemet.com/download/specsheet/C0603C102J1GACTU</x:v>
      </x:c>
      <x:c r="L120" s="33" t="str"/>
    </x:row>
    <x:row r="121" ht="38" customHeight="1">
      <x:c r="A121" s="2" t="str">
        <x:v>C333</x:v>
      </x:c>
      <x:c r="B121" s="2" t="str">
        <x:v>1000pF</x:v>
      </x:c>
      <x:c r="C121" s="2" t="str">
        <x:v>Да</x:v>
      </x:c>
      <x:c r="D121" s="8" t="str">
        <x:v>C0603C102J1GACTU</x:v>
      </x:c>
      <x:c r="E121" s="2" t="str">
        <x:v>KEMET</x:v>
      </x:c>
      <x:c r="F121" s="8" t="str">
        <x:v>0603</x:v>
      </x:c>
      <x:c r="G121" s="2" t="str">
        <x:v>SURFACE_MOUNT</x:v>
      </x:c>
      <x:c r="H121" s="2" t="str">
        <x:v>SELECTED_CATALOG_ITEM</x:v>
      </x:c>
      <x:c r="I121" s="2" t="str">
        <x:v>Не выпущено</x:v>
      </x:c>
      <x:c r="J121" s="31" t="str">
        <x:v>capacitance_pf: 1000; rated_voltage_v: 100; dielectric: C0G; tolerance_pct: 5; temperature_min_c: -55; temperature_max_c: 125</x:v>
      </x:c>
      <x:c r="K121" s="31" t="str">
        <x:v>https://search.kemet.com/download/specsheet/C0603C102J1GACTU</x:v>
      </x:c>
      <x:c r="L121" s="31" t="str"/>
    </x:row>
    <x:row r="122" ht="38" customHeight="1">
      <x:c r="A122" s="12" t="str">
        <x:v>C334</x:v>
      </x:c>
      <x:c r="B122" s="12" t="str">
        <x:v>1000pF</x:v>
      </x:c>
      <x:c r="C122" s="12" t="str">
        <x:v>Да</x:v>
      </x:c>
      <x:c r="D122" s="11" t="str">
        <x:v>C0603C102J1GACTU</x:v>
      </x:c>
      <x:c r="E122" s="12" t="str">
        <x:v>KEMET</x:v>
      </x:c>
      <x:c r="F122" s="11" t="str">
        <x:v>0603</x:v>
      </x:c>
      <x:c r="G122" s="12" t="str">
        <x:v>SURFACE_MOUNT</x:v>
      </x:c>
      <x:c r="H122" s="12" t="str">
        <x:v>SELECTED_CATALOG_ITEM</x:v>
      </x:c>
      <x:c r="I122" s="12" t="str">
        <x:v>Не выпущено</x:v>
      </x:c>
      <x:c r="J122" s="33" t="str">
        <x:v>capacitance_pf: 1000; rated_voltage_v: 100; dielectric: C0G; tolerance_pct: 5; temperature_min_c: -55; temperature_max_c: 125</x:v>
      </x:c>
      <x:c r="K122" s="33" t="str">
        <x:v>https://search.kemet.com/download/specsheet/C0603C102J1GACTU</x:v>
      </x:c>
      <x:c r="L122" s="33" t="str"/>
    </x:row>
    <x:row r="123" ht="38" customHeight="1">
      <x:c r="A123" s="2" t="str">
        <x:v>C335</x:v>
      </x:c>
      <x:c r="B123" s="2" t="str">
        <x:v>100n</x:v>
      </x:c>
      <x:c r="C123" s="2" t="str">
        <x:v>Да</x:v>
      </x:c>
      <x:c r="D123" s="8" t="str">
        <x:v>C0603C104K5RACTU</x:v>
      </x:c>
      <x:c r="E123" s="2" t="str">
        <x:v>KEMET</x:v>
      </x:c>
      <x:c r="F123" s="8" t="str">
        <x:v>0603</x:v>
      </x:c>
      <x:c r="G123" s="2" t="str">
        <x:v>SURFACE_MOUNT</x:v>
      </x:c>
      <x:c r="H123" s="2" t="str">
        <x:v>SELECTED_CATALOG_ITEM</x:v>
      </x:c>
      <x:c r="I123" s="2" t="str">
        <x:v>Не выпущено</x:v>
      </x:c>
      <x:c r="J123" s="31" t="str">
        <x:v>capacitance_pf: 100000; rated_voltage_v: 50; dielectric: X7R; tolerance_pct: 10; temperature_min_c: -55; temperature_max_c: 125</x:v>
      </x:c>
      <x:c r="K123" s="31" t="str">
        <x:v>https://search.kemet.com/download/specsheet/C0603C104K5RACTU</x:v>
      </x:c>
      <x:c r="L123" s="31" t="str"/>
    </x:row>
    <x:row r="124" ht="38" customHeight="1">
      <x:c r="A124" s="12" t="str">
        <x:v>C336</x:v>
      </x:c>
      <x:c r="B124" s="12" t="str">
        <x:v>330p</x:v>
      </x:c>
      <x:c r="C124" s="12" t="str">
        <x:v>Да</x:v>
      </x:c>
      <x:c r="D124" s="11" t="str">
        <x:v>C0603C331J1GACTU</x:v>
      </x:c>
      <x:c r="E124" s="12" t="str">
        <x:v>KEMET</x:v>
      </x:c>
      <x:c r="F124" s="11" t="str">
        <x:v>0603</x:v>
      </x:c>
      <x:c r="G124" s="12" t="str">
        <x:v>SURFACE_MOUNT</x:v>
      </x:c>
      <x:c r="H124" s="12" t="str">
        <x:v>SELECTED_CATALOG_ITEM</x:v>
      </x:c>
      <x:c r="I124" s="12" t="str">
        <x:v>Не выпущено</x:v>
      </x:c>
      <x:c r="J124" s="33" t="str">
        <x:v>capacitance_pf: 330; rated_voltage_v: 100; dielectric: C0G; tolerance_pct: 5; temperature_min_c: -55; temperature_max_c: 125</x:v>
      </x:c>
      <x:c r="K124" s="33" t="str">
        <x:v>https://search.kemet.com/download/specsheet/C0603C331J1GACTU</x:v>
      </x:c>
      <x:c r="L124" s="33" t="str"/>
    </x:row>
    <x:row r="125" ht="38" customHeight="1">
      <x:c r="A125" s="2" t="str">
        <x:v>C338</x:v>
      </x:c>
      <x:c r="B125" s="2" t="str">
        <x:v>1000pF</x:v>
      </x:c>
      <x:c r="C125" s="2" t="str">
        <x:v>Да</x:v>
      </x:c>
      <x:c r="D125" s="8" t="str">
        <x:v>C0603C102J1GACTU</x:v>
      </x:c>
      <x:c r="E125" s="2" t="str">
        <x:v>KEMET</x:v>
      </x:c>
      <x:c r="F125" s="8" t="str">
        <x:v>0603</x:v>
      </x:c>
      <x:c r="G125" s="2" t="str">
        <x:v>SURFACE_MOUNT</x:v>
      </x:c>
      <x:c r="H125" s="2" t="str">
        <x:v>SELECTED_CATALOG_ITEM</x:v>
      </x:c>
      <x:c r="I125" s="2" t="str">
        <x:v>Не выпущено</x:v>
      </x:c>
      <x:c r="J125" s="31" t="str">
        <x:v>capacitance_pf: 1000; rated_voltage_v: 100; dielectric: C0G; tolerance_pct: 5; temperature_min_c: -55; temperature_max_c: 125</x:v>
      </x:c>
      <x:c r="K125" s="31" t="str">
        <x:v>https://search.kemet.com/download/specsheet/C0603C102J1GACTU</x:v>
      </x:c>
      <x:c r="L125" s="31" t="str"/>
    </x:row>
    <x:row r="126" ht="38" customHeight="1">
      <x:c r="A126" s="12" t="str">
        <x:v>C339</x:v>
      </x:c>
      <x:c r="B126" s="12" t="str">
        <x:v>1000pF</x:v>
      </x:c>
      <x:c r="C126" s="12" t="str">
        <x:v>Да</x:v>
      </x:c>
      <x:c r="D126" s="11" t="str">
        <x:v>C0603C102J1GACTU</x:v>
      </x:c>
      <x:c r="E126" s="12" t="str">
        <x:v>KEMET</x:v>
      </x:c>
      <x:c r="F126" s="11" t="str">
        <x:v>0603</x:v>
      </x:c>
      <x:c r="G126" s="12" t="str">
        <x:v>SURFACE_MOUNT</x:v>
      </x:c>
      <x:c r="H126" s="12" t="str">
        <x:v>SELECTED_CATALOG_ITEM</x:v>
      </x:c>
      <x:c r="I126" s="12" t="str">
        <x:v>Не выпущено</x:v>
      </x:c>
      <x:c r="J126" s="33" t="str">
        <x:v>capacitance_pf: 1000; rated_voltage_v: 100; dielectric: C0G; tolerance_pct: 5; temperature_min_c: -55; temperature_max_c: 125</x:v>
      </x:c>
      <x:c r="K126" s="33" t="str">
        <x:v>https://search.kemet.com/download/specsheet/C0603C102J1GACTU</x:v>
      </x:c>
      <x:c r="L126" s="33" t="str"/>
    </x:row>
    <x:row r="127" ht="38" customHeight="1">
      <x:c r="A127" s="2" t="str">
        <x:v>C340</x:v>
      </x:c>
      <x:c r="B127" s="2" t="str">
        <x:v>0.33uF</x:v>
      </x:c>
      <x:c r="C127" s="2" t="str">
        <x:v>Да</x:v>
      </x:c>
      <x:c r="D127" s="8" t="str">
        <x:v>0603B334K250NT</x:v>
      </x:c>
      <x:c r="E127" s="2" t="str">
        <x:v>FH</x:v>
      </x:c>
      <x:c r="F127" s="8" t="str">
        <x:v>0603</x:v>
      </x:c>
      <x:c r="G127" s="2" t="str">
        <x:v>SURFACE_MOUNT</x:v>
      </x:c>
      <x:c r="H127" s="2" t="str">
        <x:v>SELECTED_CATALOG_ITEM</x:v>
      </x:c>
      <x:c r="I127" s="2" t="str">
        <x:v>Не выпущено</x:v>
      </x:c>
      <x:c r="J127" s="31" t="str">
        <x:v>capacitance_pf: 330000; rated_voltage_v: 25; dielectric: X7R; tolerance_pct: 10; temperature_min_c: -55; temperature_max_c: 125</x:v>
      </x:c>
      <x:c r="K127" s="31" t="str">
        <x:v>https://www.lcsc.com/product-detail/C1615.html</x:v>
      </x:c>
      <x:c r="L127" s="31" t="str"/>
    </x:row>
    <x:row r="128" ht="38" customHeight="1">
      <x:c r="A128" s="12" t="str">
        <x:v>C341</x:v>
      </x:c>
      <x:c r="B128" s="12" t="str">
        <x:v>4700p</x:v>
      </x:c>
      <x:c r="C128" s="12" t="str">
        <x:v>Да</x:v>
      </x:c>
      <x:c r="D128" s="11" t="str">
        <x:v>C0603C472J1GACTU</x:v>
      </x:c>
      <x:c r="E128" s="12" t="str">
        <x:v>KEMET</x:v>
      </x:c>
      <x:c r="F128" s="11" t="str">
        <x:v>0603</x:v>
      </x:c>
      <x:c r="G128" s="12" t="str">
        <x:v>SURFACE_MOUNT</x:v>
      </x:c>
      <x:c r="H128" s="12" t="str">
        <x:v>SELECTED_CATALOG_ITEM</x:v>
      </x:c>
      <x:c r="I128" s="12" t="str">
        <x:v>Не выпущено</x:v>
      </x:c>
      <x:c r="J128" s="33" t="str">
        <x:v>capacitance_pf: 4700; rated_voltage_v: 100; dielectric: C0G; tolerance_pct: 5; temperature_min_c: -55; temperature_max_c: 125</x:v>
      </x:c>
      <x:c r="K128" s="33" t="str">
        <x:v>https://www.digikey.com/en/products/detail/kemet/C0603C472J1GACTU/3737137</x:v>
      </x:c>
      <x:c r="L128" s="33" t="str"/>
    </x:row>
    <x:row r="129" ht="38" customHeight="1">
      <x:c r="A129" s="2" t="str">
        <x:v>C342</x:v>
      </x:c>
      <x:c r="B129" s="2" t="str">
        <x:v>4700p</x:v>
      </x:c>
      <x:c r="C129" s="2" t="str">
        <x:v>Да</x:v>
      </x:c>
      <x:c r="D129" s="8" t="str">
        <x:v>C0603C472J1GACTU</x:v>
      </x:c>
      <x:c r="E129" s="2" t="str">
        <x:v>KEMET</x:v>
      </x:c>
      <x:c r="F129" s="8" t="str">
        <x:v>0603</x:v>
      </x:c>
      <x:c r="G129" s="2" t="str">
        <x:v>SURFACE_MOUNT</x:v>
      </x:c>
      <x:c r="H129" s="2" t="str">
        <x:v>SELECTED_CATALOG_ITEM</x:v>
      </x:c>
      <x:c r="I129" s="2" t="str">
        <x:v>Не выпущено</x:v>
      </x:c>
      <x:c r="J129" s="31" t="str">
        <x:v>capacitance_pf: 4700; rated_voltage_v: 100; dielectric: C0G; tolerance_pct: 5; temperature_min_c: -55; temperature_max_c: 125</x:v>
      </x:c>
      <x:c r="K129" s="31" t="str">
        <x:v>https://www.digikey.com/en/products/detail/kemet/C0603C472J1GACTU/3737137</x:v>
      </x:c>
      <x:c r="L129" s="31" t="str"/>
    </x:row>
    <x:row r="130" ht="38" customHeight="1">
      <x:c r="A130" s="12" t="str">
        <x:v>C343</x:v>
      </x:c>
      <x:c r="B130" s="12" t="str">
        <x:v>1000pF</x:v>
      </x:c>
      <x:c r="C130" s="12" t="str">
        <x:v>Да</x:v>
      </x:c>
      <x:c r="D130" s="11" t="str">
        <x:v>C0603C102J1GACTU</x:v>
      </x:c>
      <x:c r="E130" s="12" t="str">
        <x:v>KEMET</x:v>
      </x:c>
      <x:c r="F130" s="11" t="str">
        <x:v>0603</x:v>
      </x:c>
      <x:c r="G130" s="12" t="str">
        <x:v>SURFACE_MOUNT</x:v>
      </x:c>
      <x:c r="H130" s="12" t="str">
        <x:v>SELECTED_CATALOG_ITEM</x:v>
      </x:c>
      <x:c r="I130" s="12" t="str">
        <x:v>Не выпущено</x:v>
      </x:c>
      <x:c r="J130" s="33" t="str">
        <x:v>capacitance_pf: 1000; rated_voltage_v: 100; dielectric: C0G; tolerance_pct: 5; temperature_min_c: -55; temperature_max_c: 125</x:v>
      </x:c>
      <x:c r="K130" s="33" t="str">
        <x:v>https://search.kemet.com/download/specsheet/C0603C102J1GACTU</x:v>
      </x:c>
      <x:c r="L130" s="33" t="str"/>
    </x:row>
    <x:row r="131" ht="38" customHeight="1">
      <x:c r="A131" s="2" t="str">
        <x:v>C344</x:v>
      </x:c>
      <x:c r="B131" s="2" t="str">
        <x:v>330p</x:v>
      </x:c>
      <x:c r="C131" s="2" t="str">
        <x:v>Да</x:v>
      </x:c>
      <x:c r="D131" s="8" t="str">
        <x:v>C0603C331J1GACTU</x:v>
      </x:c>
      <x:c r="E131" s="2" t="str">
        <x:v>KEMET</x:v>
      </x:c>
      <x:c r="F131" s="8" t="str">
        <x:v>0603</x:v>
      </x:c>
      <x:c r="G131" s="2" t="str">
        <x:v>SURFACE_MOUNT</x:v>
      </x:c>
      <x:c r="H131" s="2" t="str">
        <x:v>SELECTED_CATALOG_ITEM</x:v>
      </x:c>
      <x:c r="I131" s="2" t="str">
        <x:v>Не выпущено</x:v>
      </x:c>
      <x:c r="J131" s="31" t="str">
        <x:v>capacitance_pf: 330; rated_voltage_v: 100; dielectric: C0G; tolerance_pct: 5; temperature_min_c: -55; temperature_max_c: 125</x:v>
      </x:c>
      <x:c r="K131" s="31" t="str">
        <x:v>https://search.kemet.com/download/specsheet/C0603C331J1GACTU</x:v>
      </x:c>
      <x:c r="L131" s="31" t="str"/>
    </x:row>
    <x:row r="132" ht="38" customHeight="1">
      <x:c r="A132" s="12" t="str">
        <x:v>C345</x:v>
      </x:c>
      <x:c r="B132" s="12" t="str">
        <x:v>470p</x:v>
      </x:c>
      <x:c r="C132" s="12" t="str">
        <x:v>Да</x:v>
      </x:c>
      <x:c r="D132" s="11" t="str">
        <x:v>C0603C471J1GACTU</x:v>
      </x:c>
      <x:c r="E132" s="12" t="str">
        <x:v>KEMET</x:v>
      </x:c>
      <x:c r="F132" s="11" t="str">
        <x:v>0603</x:v>
      </x:c>
      <x:c r="G132" s="12" t="str">
        <x:v>SURFACE_MOUNT</x:v>
      </x:c>
      <x:c r="H132" s="12" t="str">
        <x:v>SELECTED_CATALOG_ITEM</x:v>
      </x:c>
      <x:c r="I132" s="12" t="str">
        <x:v>Не выпущено</x:v>
      </x:c>
      <x:c r="J132" s="33" t="str">
        <x:v>capacitance_pf: 470; rated_voltage_v: 100; dielectric: C0G; tolerance_pct: 5; temperature_min_c: -55; temperature_max_c: 125</x:v>
      </x:c>
      <x:c r="K132" s="33" t="str">
        <x:v>https://www.digikey.com/en/products/detail/kemet/C0603C471J1GACTU/3471644</x:v>
      </x:c>
      <x:c r="L132" s="33" t="str"/>
    </x:row>
    <x:row r="133" ht="38" customHeight="1">
      <x:c r="A133" s="2" t="str">
        <x:v>C346</x:v>
      </x:c>
      <x:c r="B133" s="2" t="str">
        <x:v>0.22uF</x:v>
      </x:c>
      <x:c r="C133" s="2" t="str">
        <x:v>Да</x:v>
      </x:c>
      <x:c r="D133" s="8" t="str">
        <x:v>C0805C224K1RACTU</x:v>
      </x:c>
      <x:c r="E133" s="2" t="str">
        <x:v>KEMET</x:v>
      </x:c>
      <x:c r="F133" s="8" t="str">
        <x:v>0805</x:v>
      </x:c>
      <x:c r="G133" s="2" t="str">
        <x:v>SURFACE_MOUNT</x:v>
      </x:c>
      <x:c r="H133" s="2" t="str">
        <x:v>SELECTED_CATALOG_ITEM</x:v>
      </x:c>
      <x:c r="I133" s="2" t="str">
        <x:v>Не выпущено</x:v>
      </x:c>
      <x:c r="J133" s="31" t="str">
        <x:v>capacitance_pf: 220000; rated_voltage_v: 100; dielectric: X7R; tolerance_pct: 10; temperature_min_c: -55; temperature_max_c: 125</x:v>
      </x:c>
      <x:c r="K133" s="31" t="str">
        <x:v>https://content.kemet.com/datasheets/CER_ENG_KIT_30.pdf</x:v>
      </x:c>
      <x:c r="L133" s="31" t="str"/>
    </x:row>
    <x:row r="134" ht="38" customHeight="1">
      <x:c r="A134" s="12" t="str">
        <x:v>C347</x:v>
      </x:c>
      <x:c r="B134" s="12" t="str">
        <x:v>0.22uF</x:v>
      </x:c>
      <x:c r="C134" s="12" t="str">
        <x:v>Да</x:v>
      </x:c>
      <x:c r="D134" s="11" t="str">
        <x:v>C0805C224K1RACTU</x:v>
      </x:c>
      <x:c r="E134" s="12" t="str">
        <x:v>KEMET</x:v>
      </x:c>
      <x:c r="F134" s="11" t="str">
        <x:v>0805</x:v>
      </x:c>
      <x:c r="G134" s="12" t="str">
        <x:v>SURFACE_MOUNT</x:v>
      </x:c>
      <x:c r="H134" s="12" t="str">
        <x:v>SELECTED_CATALOG_ITEM</x:v>
      </x:c>
      <x:c r="I134" s="12" t="str">
        <x:v>Не выпущено</x:v>
      </x:c>
      <x:c r="J134" s="33" t="str">
        <x:v>capacitance_pf: 220000; rated_voltage_v: 100; dielectric: X7R; tolerance_pct: 10; temperature_min_c: -55; temperature_max_c: 125</x:v>
      </x:c>
      <x:c r="K134" s="33" t="str">
        <x:v>https://content.kemet.com/datasheets/CER_ENG_KIT_30.pdf</x:v>
      </x:c>
      <x:c r="L134" s="33" t="str"/>
    </x:row>
    <x:row r="135" ht="38" customHeight="1">
      <x:c r="A135" s="2" t="str">
        <x:v>C348</x:v>
      </x:c>
      <x:c r="B135" s="2" t="str">
        <x:v>0.22uF</x:v>
      </x:c>
      <x:c r="C135" s="2" t="str">
        <x:v>Да</x:v>
      </x:c>
      <x:c r="D135" s="8" t="str">
        <x:v>C0805C224K1RACTU</x:v>
      </x:c>
      <x:c r="E135" s="2" t="str">
        <x:v>KEMET</x:v>
      </x:c>
      <x:c r="F135" s="8" t="str">
        <x:v>0805</x:v>
      </x:c>
      <x:c r="G135" s="2" t="str">
        <x:v>SURFACE_MOUNT</x:v>
      </x:c>
      <x:c r="H135" s="2" t="str">
        <x:v>SELECTED_CATALOG_ITEM</x:v>
      </x:c>
      <x:c r="I135" s="2" t="str">
        <x:v>Не выпущено</x:v>
      </x:c>
      <x:c r="J135" s="31" t="str">
        <x:v>capacitance_pf: 220000; rated_voltage_v: 100; dielectric: X7R; tolerance_pct: 10; temperature_min_c: -55; temperature_max_c: 125</x:v>
      </x:c>
      <x:c r="K135" s="31" t="str">
        <x:v>https://content.kemet.com/datasheets/CER_ENG_KIT_30.pdf</x:v>
      </x:c>
      <x:c r="L135" s="31" t="str"/>
    </x:row>
    <x:row r="136" ht="38" customHeight="1">
      <x:c r="A136" s="12" t="str">
        <x:v>C349</x:v>
      </x:c>
      <x:c r="B136" s="12" t="str">
        <x:v>4700p</x:v>
      </x:c>
      <x:c r="C136" s="12" t="str">
        <x:v>Да</x:v>
      </x:c>
      <x:c r="D136" s="11" t="str">
        <x:v>C0603C472J1GACTU</x:v>
      </x:c>
      <x:c r="E136" s="12" t="str">
        <x:v>KEMET</x:v>
      </x:c>
      <x:c r="F136" s="11" t="str">
        <x:v>0603</x:v>
      </x:c>
      <x:c r="G136" s="12" t="str">
        <x:v>SURFACE_MOUNT</x:v>
      </x:c>
      <x:c r="H136" s="12" t="str">
        <x:v>SELECTED_CATALOG_ITEM</x:v>
      </x:c>
      <x:c r="I136" s="12" t="str">
        <x:v>Не выпущено</x:v>
      </x:c>
      <x:c r="J136" s="33" t="str">
        <x:v>capacitance_pf: 4700; rated_voltage_v: 100; dielectric: C0G; tolerance_pct: 5; temperature_min_c: -55; temperature_max_c: 125</x:v>
      </x:c>
      <x:c r="K136" s="33" t="str">
        <x:v>https://www.digikey.com/en/products/detail/kemet/C0603C472J1GACTU/3737137</x:v>
      </x:c>
      <x:c r="L136" s="33" t="str"/>
    </x:row>
    <x:row r="137" ht="38" customHeight="1">
      <x:c r="A137" s="2" t="str">
        <x:v>C350</x:v>
      </x:c>
      <x:c r="B137" s="2" t="str">
        <x:v>4700p</x:v>
      </x:c>
      <x:c r="C137" s="2" t="str">
        <x:v>Да</x:v>
      </x:c>
      <x:c r="D137" s="8" t="str">
        <x:v>C0603C472J1GACTU</x:v>
      </x:c>
      <x:c r="E137" s="2" t="str">
        <x:v>KEMET</x:v>
      </x:c>
      <x:c r="F137" s="8" t="str">
        <x:v>0603</x:v>
      </x:c>
      <x:c r="G137" s="2" t="str">
        <x:v>SURFACE_MOUNT</x:v>
      </x:c>
      <x:c r="H137" s="2" t="str">
        <x:v>SELECTED_CATALOG_ITEM</x:v>
      </x:c>
      <x:c r="I137" s="2" t="str">
        <x:v>Не выпущено</x:v>
      </x:c>
      <x:c r="J137" s="31" t="str">
        <x:v>capacitance_pf: 4700; rated_voltage_v: 100; dielectric: C0G; tolerance_pct: 5; temperature_min_c: -55; temperature_max_c: 125</x:v>
      </x:c>
      <x:c r="K137" s="31" t="str">
        <x:v>https://www.digikey.com/en/products/detail/kemet/C0603C472J1GACTU/3737137</x:v>
      </x:c>
      <x:c r="L137" s="31" t="str"/>
    </x:row>
    <x:row r="138" ht="38" customHeight="1">
      <x:c r="A138" s="12" t="str">
        <x:v>C351</x:v>
      </x:c>
      <x:c r="B138" s="12" t="str">
        <x:v>4700p</x:v>
      </x:c>
      <x:c r="C138" s="12" t="str">
        <x:v>Да</x:v>
      </x:c>
      <x:c r="D138" s="11" t="str">
        <x:v>C0603C472J1GACTU</x:v>
      </x:c>
      <x:c r="E138" s="12" t="str">
        <x:v>KEMET</x:v>
      </x:c>
      <x:c r="F138" s="11" t="str">
        <x:v>0603</x:v>
      </x:c>
      <x:c r="G138" s="12" t="str">
        <x:v>SURFACE_MOUNT</x:v>
      </x:c>
      <x:c r="H138" s="12" t="str">
        <x:v>SELECTED_CATALOG_ITEM</x:v>
      </x:c>
      <x:c r="I138" s="12" t="str">
        <x:v>Не выпущено</x:v>
      </x:c>
      <x:c r="J138" s="33" t="str">
        <x:v>capacitance_pf: 4700; rated_voltage_v: 100; dielectric: C0G; tolerance_pct: 5; temperature_min_c: -55; temperature_max_c: 125</x:v>
      </x:c>
      <x:c r="K138" s="33" t="str">
        <x:v>https://www.digikey.com/en/products/detail/kemet/C0603C472J1GACTU/3737137</x:v>
      </x:c>
      <x:c r="L138" s="33" t="str"/>
    </x:row>
    <x:row r="139" ht="38" customHeight="1">
      <x:c r="A139" s="2" t="str">
        <x:v>C352</x:v>
      </x:c>
      <x:c r="B139" s="2" t="str">
        <x:v>1000pF</x:v>
      </x:c>
      <x:c r="C139" s="2" t="str">
        <x:v>Да</x:v>
      </x:c>
      <x:c r="D139" s="8" t="str">
        <x:v>C0603C102J1GACTU</x:v>
      </x:c>
      <x:c r="E139" s="2" t="str">
        <x:v>KEMET</x:v>
      </x:c>
      <x:c r="F139" s="8" t="str">
        <x:v>0603</x:v>
      </x:c>
      <x:c r="G139" s="2" t="str">
        <x:v>SURFACE_MOUNT</x:v>
      </x:c>
      <x:c r="H139" s="2" t="str">
        <x:v>SELECTED_CATALOG_ITEM</x:v>
      </x:c>
      <x:c r="I139" s="2" t="str">
        <x:v>Не выпущено</x:v>
      </x:c>
      <x:c r="J139" s="31" t="str">
        <x:v>capacitance_pf: 1000; rated_voltage_v: 100; dielectric: C0G; tolerance_pct: 5; temperature_min_c: -55; temperature_max_c: 125</x:v>
      </x:c>
      <x:c r="K139" s="31" t="str">
        <x:v>https://search.kemet.com/download/specsheet/C0603C102J1GACTU</x:v>
      </x:c>
      <x:c r="L139" s="31" t="str"/>
    </x:row>
    <x:row r="140" ht="38" customHeight="1">
      <x:c r="A140" s="12" t="str">
        <x:v>C353</x:v>
      </x:c>
      <x:c r="B140" s="12" t="str">
        <x:v>4700p</x:v>
      </x:c>
      <x:c r="C140" s="12" t="str">
        <x:v>Да</x:v>
      </x:c>
      <x:c r="D140" s="11" t="str">
        <x:v>C0603C472J1GACTU</x:v>
      </x:c>
      <x:c r="E140" s="12" t="str">
        <x:v>KEMET</x:v>
      </x:c>
      <x:c r="F140" s="11" t="str">
        <x:v>0603</x:v>
      </x:c>
      <x:c r="G140" s="12" t="str">
        <x:v>SURFACE_MOUNT</x:v>
      </x:c>
      <x:c r="H140" s="12" t="str">
        <x:v>SELECTED_CATALOG_ITEM</x:v>
      </x:c>
      <x:c r="I140" s="12" t="str">
        <x:v>Не выпущено</x:v>
      </x:c>
      <x:c r="J140" s="33" t="str">
        <x:v>capacitance_pf: 4700; rated_voltage_v: 100; dielectric: C0G; tolerance_pct: 5; temperature_min_c: -55; temperature_max_c: 125</x:v>
      </x:c>
      <x:c r="K140" s="33" t="str">
        <x:v>https://www.digikey.com/en/products/detail/kemet/C0603C472J1GACTU/3737137</x:v>
      </x:c>
      <x:c r="L140" s="33" t="str"/>
    </x:row>
    <x:row r="141" ht="38" customHeight="1">
      <x:c r="A141" s="2" t="str">
        <x:v>C354</x:v>
      </x:c>
      <x:c r="B141" s="2" t="str">
        <x:v>1000pF</x:v>
      </x:c>
      <x:c r="C141" s="2" t="str">
        <x:v>Да</x:v>
      </x:c>
      <x:c r="D141" s="8" t="str">
        <x:v>C0603C102J1GACTU</x:v>
      </x:c>
      <x:c r="E141" s="2" t="str">
        <x:v>KEMET</x:v>
      </x:c>
      <x:c r="F141" s="8" t="str">
        <x:v>0603</x:v>
      </x:c>
      <x:c r="G141" s="2" t="str">
        <x:v>SURFACE_MOUNT</x:v>
      </x:c>
      <x:c r="H141" s="2" t="str">
        <x:v>SELECTED_CATALOG_ITEM</x:v>
      </x:c>
      <x:c r="I141" s="2" t="str">
        <x:v>Не выпущено</x:v>
      </x:c>
      <x:c r="J141" s="31" t="str">
        <x:v>capacitance_pf: 1000; rated_voltage_v: 100; dielectric: C0G; tolerance_pct: 5; temperature_min_c: -55; temperature_max_c: 125</x:v>
      </x:c>
      <x:c r="K141" s="31" t="str">
        <x:v>https://search.kemet.com/download/specsheet/C0603C102J1GACTU</x:v>
      </x:c>
      <x:c r="L141" s="31" t="str"/>
    </x:row>
    <x:row r="142" ht="38" customHeight="1">
      <x:c r="A142" s="12" t="str">
        <x:v>C398</x:v>
      </x:c>
      <x:c r="B142" s="12" t="str">
        <x:v>330n 50V X7R</x:v>
      </x:c>
      <x:c r="C142" s="12" t="str">
        <x:v>Да</x:v>
      </x:c>
      <x:c r="D142" s="11" t="str">
        <x:v>C0805C334K5RACTU</x:v>
      </x:c>
      <x:c r="E142" s="12" t="str">
        <x:v>KEMET</x:v>
      </x:c>
      <x:c r="F142" s="11" t="str">
        <x:v>0805</x:v>
      </x:c>
      <x:c r="G142" s="12" t="str">
        <x:v>SURFACE_MOUNT</x:v>
      </x:c>
      <x:c r="H142" s="12" t="str">
        <x:v>SELECTED_CATALOG_ITEM</x:v>
      </x:c>
      <x:c r="I142" s="12" t="str">
        <x:v>Не выпущено</x:v>
      </x:c>
      <x:c r="J142" s="33" t="str">
        <x:v>capacitance_pf: 330000; rated_voltage_v: 50; dielectric: X7R; tolerance_pct: 10; temperature_min_c: -55; temperature_max_c: 125</x:v>
      </x:c>
      <x:c r="K142" s="33" t="str">
        <x:v>https://www.digikey.com/en/products/detail/kemet/C0805C334K5RACTU/2212621</x:v>
      </x:c>
      <x:c r="L142" s="33" t="str"/>
    </x:row>
    <x:row r="143" ht="38" customHeight="1">
      <x:c r="A143" s="2" t="str">
        <x:v>C399</x:v>
      </x:c>
      <x:c r="B143" s="2" t="str">
        <x:v>100n 25V X7R</x:v>
      </x:c>
      <x:c r="C143" s="2" t="str">
        <x:v>Да</x:v>
      </x:c>
      <x:c r="D143" s="8" t="str">
        <x:v>C0805C104K1RACTU</x:v>
      </x:c>
      <x:c r="E143" s="2" t="str">
        <x:v>KEMET</x:v>
      </x:c>
      <x:c r="F143" s="8" t="str">
        <x:v>0805</x:v>
      </x:c>
      <x:c r="G143" s="2" t="str">
        <x:v>SURFACE_MOUNT</x:v>
      </x:c>
      <x:c r="H143" s="2" t="str">
        <x:v>SELECTED_CATALOG_ITEM</x:v>
      </x:c>
      <x:c r="I143" s="2" t="str">
        <x:v>Не выпущено</x:v>
      </x:c>
      <x:c r="J143" s="31" t="str">
        <x:v>capacitance_pf: 100000; rated_voltage_v: 100; dielectric: X7R; tolerance_pct: 10; temperature_min_c: -55; temperature_max_c: 125</x:v>
      </x:c>
      <x:c r="K143" s="31" t="str">
        <x:v>https://www.mouser.com/datasheet/3/72/1/C0805C104K1RACTU.pdf</x:v>
      </x:c>
      <x:c r="L143" s="31" t="str"/>
    </x:row>
    <x:row r="144" ht="38" customHeight="1">
      <x:c r="A144" s="12" t="str">
        <x:v>C700</x:v>
      </x:c>
      <x:c r="B144" s="12" t="str">
        <x:v>1n 50V C0G</x:v>
      </x:c>
      <x:c r="C144" s="12" t="str">
        <x:v>Да</x:v>
      </x:c>
      <x:c r="D144" s="11" t="str">
        <x:v>C0603C102J1GACTU</x:v>
      </x:c>
      <x:c r="E144" s="12" t="str">
        <x:v>KEMET</x:v>
      </x:c>
      <x:c r="F144" s="11" t="str">
        <x:v>0603</x:v>
      </x:c>
      <x:c r="G144" s="12" t="str">
        <x:v>SURFACE_MOUNT</x:v>
      </x:c>
      <x:c r="H144" s="12" t="str">
        <x:v>SELECTED_CATALOG_ITEM</x:v>
      </x:c>
      <x:c r="I144" s="12" t="str">
        <x:v>Не выпущено</x:v>
      </x:c>
      <x:c r="J144" s="33" t="str">
        <x:v>capacitance_pf: 1000; rated_voltage_v: 100; dielectric: C0G; tolerance_pct: 5; temperature_min_c: -55; temperature_max_c: 125</x:v>
      </x:c>
      <x:c r="K144" s="33" t="str">
        <x:v>https://search.kemet.com/download/specsheet/C0603C102J1GACTU</x:v>
      </x:c>
      <x:c r="L144" s="33" t="str"/>
    </x:row>
    <x:row r="145" ht="38" customHeight="1">
      <x:c r="A145" s="2" t="str">
        <x:v>C701</x:v>
      </x:c>
      <x:c r="B145" s="2" t="str">
        <x:v>10n 16V X7R</x:v>
      </x:c>
      <x:c r="C145" s="2" t="str">
        <x:v>Да</x:v>
      </x:c>
      <x:c r="D145" s="8" t="str">
        <x:v>C0603C103K5RACTU</x:v>
      </x:c>
      <x:c r="E145" s="2" t="str">
        <x:v>KEMET</x:v>
      </x:c>
      <x:c r="F145" s="8" t="str">
        <x:v>0603</x:v>
      </x:c>
      <x:c r="G145" s="2" t="str">
        <x:v>SURFACE_MOUNT</x:v>
      </x:c>
      <x:c r="H145" s="2" t="str">
        <x:v>SELECTED_CATALOG_ITEM</x:v>
      </x:c>
      <x:c r="I145" s="2" t="str">
        <x:v>Не выпущено</x:v>
      </x:c>
      <x:c r="J145" s="31" t="str">
        <x:v>capacitance_pf: 10000; rated_voltage_v: 50; dielectric: X7R; tolerance_pct: 10; temperature_min_c: -55; temperature_max_c: 125</x:v>
      </x:c>
      <x:c r="K145" s="31" t="str">
        <x:v>https://www.digikey.com/en/products/detail/kemet/C0603C103K5RACTU/411090</x:v>
      </x:c>
      <x:c r="L145" s="31" t="str"/>
    </x:row>
    <x:row r="146" ht="38" customHeight="1">
      <x:c r="A146" s="12" t="str">
        <x:v>C702</x:v>
      </x:c>
      <x:c r="B146" s="12" t="str">
        <x:v>1n 50V C0G</x:v>
      </x:c>
      <x:c r="C146" s="12" t="str">
        <x:v>Да</x:v>
      </x:c>
      <x:c r="D146" s="11" t="str">
        <x:v>C0603C102J1GACTU</x:v>
      </x:c>
      <x:c r="E146" s="12" t="str">
        <x:v>KEMET</x:v>
      </x:c>
      <x:c r="F146" s="11" t="str">
        <x:v>0603</x:v>
      </x:c>
      <x:c r="G146" s="12" t="str">
        <x:v>SURFACE_MOUNT</x:v>
      </x:c>
      <x:c r="H146" s="12" t="str">
        <x:v>SELECTED_CATALOG_ITEM</x:v>
      </x:c>
      <x:c r="I146" s="12" t="str">
        <x:v>Не выпущено</x:v>
      </x:c>
      <x:c r="J146" s="33" t="str">
        <x:v>capacitance_pf: 1000; rated_voltage_v: 100; dielectric: C0G; tolerance_pct: 5; temperature_min_c: -55; temperature_max_c: 125</x:v>
      </x:c>
      <x:c r="K146" s="33" t="str">
        <x:v>https://search.kemet.com/download/specsheet/C0603C102J1GACTU</x:v>
      </x:c>
      <x:c r="L146" s="33" t="str"/>
    </x:row>
    <x:row r="147" ht="38" customHeight="1">
      <x:c r="A147" s="2" t="str">
        <x:v>C703</x:v>
      </x:c>
      <x:c r="B147" s="2" t="str">
        <x:v>10n 16V X7R</x:v>
      </x:c>
      <x:c r="C147" s="2" t="str">
        <x:v>Да</x:v>
      </x:c>
      <x:c r="D147" s="8" t="str">
        <x:v>C0603C103K5RACTU</x:v>
      </x:c>
      <x:c r="E147" s="2" t="str">
        <x:v>KEMET</x:v>
      </x:c>
      <x:c r="F147" s="8" t="str">
        <x:v>0603</x:v>
      </x:c>
      <x:c r="G147" s="2" t="str">
        <x:v>SURFACE_MOUNT</x:v>
      </x:c>
      <x:c r="H147" s="2" t="str">
        <x:v>SELECTED_CATALOG_ITEM</x:v>
      </x:c>
      <x:c r="I147" s="2" t="str">
        <x:v>Не выпущено</x:v>
      </x:c>
      <x:c r="J147" s="31" t="str">
        <x:v>capacitance_pf: 10000; rated_voltage_v: 50; dielectric: X7R; tolerance_pct: 10; temperature_min_c: -55; temperature_max_c: 125</x:v>
      </x:c>
      <x:c r="K147" s="31" t="str">
        <x:v>https://www.digikey.com/en/products/detail/kemet/C0603C103K5RACTU/411090</x:v>
      </x:c>
      <x:c r="L147" s="31" t="str"/>
    </x:row>
    <x:row r="148" ht="38" customHeight="1">
      <x:c r="A148" s="12" t="str">
        <x:v>C704</x:v>
      </x:c>
      <x:c r="B148" s="12" t="str">
        <x:v>1n 50V C0G</x:v>
      </x:c>
      <x:c r="C148" s="12" t="str">
        <x:v>Да</x:v>
      </x:c>
      <x:c r="D148" s="11" t="str">
        <x:v>C0603C102J1GACTU</x:v>
      </x:c>
      <x:c r="E148" s="12" t="str">
        <x:v>KEMET</x:v>
      </x:c>
      <x:c r="F148" s="11" t="str">
        <x:v>0603</x:v>
      </x:c>
      <x:c r="G148" s="12" t="str">
        <x:v>SURFACE_MOUNT</x:v>
      </x:c>
      <x:c r="H148" s="12" t="str">
        <x:v>SELECTED_CATALOG_ITEM</x:v>
      </x:c>
      <x:c r="I148" s="12" t="str">
        <x:v>Не выпущено</x:v>
      </x:c>
      <x:c r="J148" s="33" t="str">
        <x:v>capacitance_pf: 1000; rated_voltage_v: 100; dielectric: C0G; tolerance_pct: 5; temperature_min_c: -55; temperature_max_c: 125</x:v>
      </x:c>
      <x:c r="K148" s="33" t="str">
        <x:v>https://search.kemet.com/download/specsheet/C0603C102J1GACTU</x:v>
      </x:c>
      <x:c r="L148" s="33" t="str"/>
    </x:row>
    <x:row r="149" ht="38" customHeight="1">
      <x:c r="A149" s="2" t="str">
        <x:v>C705</x:v>
      </x:c>
      <x:c r="B149" s="2" t="str">
        <x:v>10n 16V X7R</x:v>
      </x:c>
      <x:c r="C149" s="2" t="str">
        <x:v>Да</x:v>
      </x:c>
      <x:c r="D149" s="8" t="str">
        <x:v>C0603C103K5RACTU</x:v>
      </x:c>
      <x:c r="E149" s="2" t="str">
        <x:v>KEMET</x:v>
      </x:c>
      <x:c r="F149" s="8" t="str">
        <x:v>0603</x:v>
      </x:c>
      <x:c r="G149" s="2" t="str">
        <x:v>SURFACE_MOUNT</x:v>
      </x:c>
      <x:c r="H149" s="2" t="str">
        <x:v>SELECTED_CATALOG_ITEM</x:v>
      </x:c>
      <x:c r="I149" s="2" t="str">
        <x:v>Не выпущено</x:v>
      </x:c>
      <x:c r="J149" s="31" t="str">
        <x:v>capacitance_pf: 10000; rated_voltage_v: 50; dielectric: X7R; tolerance_pct: 10; temperature_min_c: -55; temperature_max_c: 125</x:v>
      </x:c>
      <x:c r="K149" s="31" t="str">
        <x:v>https://www.digikey.com/en/products/detail/kemet/C0603C103K5RACTU/411090</x:v>
      </x:c>
      <x:c r="L149" s="31" t="str"/>
    </x:row>
    <x:row r="150" ht="38" customHeight="1">
      <x:c r="A150" s="12" t="str">
        <x:v>C706</x:v>
      </x:c>
      <x:c r="B150" s="12" t="str">
        <x:v>1n 50V C0G</x:v>
      </x:c>
      <x:c r="C150" s="12" t="str">
        <x:v>Да</x:v>
      </x:c>
      <x:c r="D150" s="11" t="str">
        <x:v>C0603C102J1GACTU</x:v>
      </x:c>
      <x:c r="E150" s="12" t="str">
        <x:v>KEMET</x:v>
      </x:c>
      <x:c r="F150" s="11" t="str">
        <x:v>0603</x:v>
      </x:c>
      <x:c r="G150" s="12" t="str">
        <x:v>SURFACE_MOUNT</x:v>
      </x:c>
      <x:c r="H150" s="12" t="str">
        <x:v>SELECTED_CATALOG_ITEM</x:v>
      </x:c>
      <x:c r="I150" s="12" t="str">
        <x:v>Не выпущено</x:v>
      </x:c>
      <x:c r="J150" s="33" t="str">
        <x:v>capacitance_pf: 1000; rated_voltage_v: 100; dielectric: C0G; tolerance_pct: 5; temperature_min_c: -55; temperature_max_c: 125</x:v>
      </x:c>
      <x:c r="K150" s="33" t="str">
        <x:v>https://search.kemet.com/download/specsheet/C0603C102J1GACTU</x:v>
      </x:c>
      <x:c r="L150" s="33" t="str"/>
    </x:row>
    <x:row r="151" ht="38" customHeight="1">
      <x:c r="A151" s="2" t="str">
        <x:v>C707</x:v>
      </x:c>
      <x:c r="B151" s="2" t="str">
        <x:v>10n 16V X7R</x:v>
      </x:c>
      <x:c r="C151" s="2" t="str">
        <x:v>Да</x:v>
      </x:c>
      <x:c r="D151" s="8" t="str">
        <x:v>C0603C103K5RACTU</x:v>
      </x:c>
      <x:c r="E151" s="2" t="str">
        <x:v>KEMET</x:v>
      </x:c>
      <x:c r="F151" s="8" t="str">
        <x:v>0603</x:v>
      </x:c>
      <x:c r="G151" s="2" t="str">
        <x:v>SURFACE_MOUNT</x:v>
      </x:c>
      <x:c r="H151" s="2" t="str">
        <x:v>SELECTED_CATALOG_ITEM</x:v>
      </x:c>
      <x:c r="I151" s="2" t="str">
        <x:v>Не выпущено</x:v>
      </x:c>
      <x:c r="J151" s="31" t="str">
        <x:v>capacitance_pf: 10000; rated_voltage_v: 50; dielectric: X7R; tolerance_pct: 10; temperature_min_c: -55; temperature_max_c: 125</x:v>
      </x:c>
      <x:c r="K151" s="31" t="str">
        <x:v>https://www.digikey.com/en/products/detail/kemet/C0603C103K5RACTU/411090</x:v>
      </x:c>
      <x:c r="L151" s="31" t="str"/>
    </x:row>
    <x:row r="152" ht="38" customHeight="1">
      <x:c r="A152" s="12" t="str">
        <x:v>C708</x:v>
      </x:c>
      <x:c r="B152" s="12" t="str">
        <x:v>1n 50V C0G</x:v>
      </x:c>
      <x:c r="C152" s="12" t="str">
        <x:v>Да</x:v>
      </x:c>
      <x:c r="D152" s="11" t="str">
        <x:v>C0603C102J1GACTU</x:v>
      </x:c>
      <x:c r="E152" s="12" t="str">
        <x:v>KEMET</x:v>
      </x:c>
      <x:c r="F152" s="11" t="str">
        <x:v>0603</x:v>
      </x:c>
      <x:c r="G152" s="12" t="str">
        <x:v>SURFACE_MOUNT</x:v>
      </x:c>
      <x:c r="H152" s="12" t="str">
        <x:v>SELECTED_CATALOG_ITEM</x:v>
      </x:c>
      <x:c r="I152" s="12" t="str">
        <x:v>Не выпущено</x:v>
      </x:c>
      <x:c r="J152" s="33" t="str">
        <x:v>capacitance_pf: 1000; rated_voltage_v: 100; dielectric: C0G; tolerance_pct: 5; temperature_min_c: -55; temperature_max_c: 125</x:v>
      </x:c>
      <x:c r="K152" s="33" t="str">
        <x:v>https://search.kemet.com/download/specsheet/C0603C102J1GACTU</x:v>
      </x:c>
      <x:c r="L152" s="33" t="str"/>
    </x:row>
    <x:row r="153" ht="38" customHeight="1">
      <x:c r="A153" s="2" t="str">
        <x:v>C709</x:v>
      </x:c>
      <x:c r="B153" s="2" t="str">
        <x:v>10n 16V X7R</x:v>
      </x:c>
      <x:c r="C153" s="2" t="str">
        <x:v>Да</x:v>
      </x:c>
      <x:c r="D153" s="8" t="str">
        <x:v>C0603C103K5RACTU</x:v>
      </x:c>
      <x:c r="E153" s="2" t="str">
        <x:v>KEMET</x:v>
      </x:c>
      <x:c r="F153" s="8" t="str">
        <x:v>0603</x:v>
      </x:c>
      <x:c r="G153" s="2" t="str">
        <x:v>SURFACE_MOUNT</x:v>
      </x:c>
      <x:c r="H153" s="2" t="str">
        <x:v>SELECTED_CATALOG_ITEM</x:v>
      </x:c>
      <x:c r="I153" s="2" t="str">
        <x:v>Не выпущено</x:v>
      </x:c>
      <x:c r="J153" s="31" t="str">
        <x:v>capacitance_pf: 10000; rated_voltage_v: 50; dielectric: X7R; tolerance_pct: 10; temperature_min_c: -55; temperature_max_c: 125</x:v>
      </x:c>
      <x:c r="K153" s="31" t="str">
        <x:v>https://www.digikey.com/en/products/detail/kemet/C0603C103K5RACTU/411090</x:v>
      </x:c>
      <x:c r="L153" s="31" t="str"/>
    </x:row>
    <x:row r="154" ht="38" customHeight="1">
      <x:c r="A154" s="12" t="str">
        <x:v>C710</x:v>
      </x:c>
      <x:c r="B154" s="12" t="str">
        <x:v>1n 50V C0G</x:v>
      </x:c>
      <x:c r="C154" s="12" t="str">
        <x:v>Да</x:v>
      </x:c>
      <x:c r="D154" s="11" t="str">
        <x:v>C0603C102J1GACTU</x:v>
      </x:c>
      <x:c r="E154" s="12" t="str">
        <x:v>KEMET</x:v>
      </x:c>
      <x:c r="F154" s="11" t="str">
        <x:v>0603</x:v>
      </x:c>
      <x:c r="G154" s="12" t="str">
        <x:v>SURFACE_MOUNT</x:v>
      </x:c>
      <x:c r="H154" s="12" t="str">
        <x:v>SELECTED_CATALOG_ITEM</x:v>
      </x:c>
      <x:c r="I154" s="12" t="str">
        <x:v>Не выпущено</x:v>
      </x:c>
      <x:c r="J154" s="33" t="str">
        <x:v>capacitance_pf: 1000; rated_voltage_v: 100; dielectric: C0G; tolerance_pct: 5; temperature_min_c: -55; temperature_max_c: 125</x:v>
      </x:c>
      <x:c r="K154" s="33" t="str">
        <x:v>https://search.kemet.com/download/specsheet/C0603C102J1GACTU</x:v>
      </x:c>
      <x:c r="L154" s="33" t="str"/>
    </x:row>
    <x:row r="155" ht="38" customHeight="1">
      <x:c r="A155" s="2" t="str">
        <x:v>C711</x:v>
      </x:c>
      <x:c r="B155" s="2" t="str">
        <x:v>10n 16V X7R</x:v>
      </x:c>
      <x:c r="C155" s="2" t="str">
        <x:v>Да</x:v>
      </x:c>
      <x:c r="D155" s="8" t="str">
        <x:v>C0603C103K5RACTU</x:v>
      </x:c>
      <x:c r="E155" s="2" t="str">
        <x:v>KEMET</x:v>
      </x:c>
      <x:c r="F155" s="8" t="str">
        <x:v>0603</x:v>
      </x:c>
      <x:c r="G155" s="2" t="str">
        <x:v>SURFACE_MOUNT</x:v>
      </x:c>
      <x:c r="H155" s="2" t="str">
        <x:v>SELECTED_CATALOG_ITEM</x:v>
      </x:c>
      <x:c r="I155" s="2" t="str">
        <x:v>Не выпущено</x:v>
      </x:c>
      <x:c r="J155" s="31" t="str">
        <x:v>capacitance_pf: 10000; rated_voltage_v: 50; dielectric: X7R; tolerance_pct: 10; temperature_min_c: -55; temperature_max_c: 125</x:v>
      </x:c>
      <x:c r="K155" s="31" t="str">
        <x:v>https://www.digikey.com/en/products/detail/kemet/C0603C103K5RACTU/411090</x:v>
      </x:c>
      <x:c r="L155" s="31" t="str"/>
    </x:row>
    <x:row r="156" ht="38" customHeight="1">
      <x:c r="A156" s="12" t="str">
        <x:v>C712</x:v>
      </x:c>
      <x:c r="B156" s="12" t="str">
        <x:v>1n 50V C0G</x:v>
      </x:c>
      <x:c r="C156" s="12" t="str">
        <x:v>Да</x:v>
      </x:c>
      <x:c r="D156" s="11" t="str">
        <x:v>C0603C102J1GACTU</x:v>
      </x:c>
      <x:c r="E156" s="12" t="str">
        <x:v>KEMET</x:v>
      </x:c>
      <x:c r="F156" s="11" t="str">
        <x:v>0603</x:v>
      </x:c>
      <x:c r="G156" s="12" t="str">
        <x:v>SURFACE_MOUNT</x:v>
      </x:c>
      <x:c r="H156" s="12" t="str">
        <x:v>SELECTED_CATALOG_ITEM</x:v>
      </x:c>
      <x:c r="I156" s="12" t="str">
        <x:v>Не выпущено</x:v>
      </x:c>
      <x:c r="J156" s="33" t="str">
        <x:v>capacitance_pf: 1000; rated_voltage_v: 100; dielectric: C0G; tolerance_pct: 5; temperature_min_c: -55; temperature_max_c: 125</x:v>
      </x:c>
      <x:c r="K156" s="33" t="str">
        <x:v>https://search.kemet.com/download/specsheet/C0603C102J1GACTU</x:v>
      </x:c>
      <x:c r="L156" s="33" t="str"/>
    </x:row>
    <x:row r="157" ht="38" customHeight="1">
      <x:c r="A157" s="2" t="str">
        <x:v>C713</x:v>
      </x:c>
      <x:c r="B157" s="2" t="str">
        <x:v>10n 16V X7R</x:v>
      </x:c>
      <x:c r="C157" s="2" t="str">
        <x:v>Да</x:v>
      </x:c>
      <x:c r="D157" s="8" t="str">
        <x:v>C0603C103K5RACTU</x:v>
      </x:c>
      <x:c r="E157" s="2" t="str">
        <x:v>KEMET</x:v>
      </x:c>
      <x:c r="F157" s="8" t="str">
        <x:v>0603</x:v>
      </x:c>
      <x:c r="G157" s="2" t="str">
        <x:v>SURFACE_MOUNT</x:v>
      </x:c>
      <x:c r="H157" s="2" t="str">
        <x:v>SELECTED_CATALOG_ITEM</x:v>
      </x:c>
      <x:c r="I157" s="2" t="str">
        <x:v>Не выпущено</x:v>
      </x:c>
      <x:c r="J157" s="31" t="str">
        <x:v>capacitance_pf: 10000; rated_voltage_v: 50; dielectric: X7R; tolerance_pct: 10; temperature_min_c: -55; temperature_max_c: 125</x:v>
      </x:c>
      <x:c r="K157" s="31" t="str">
        <x:v>https://www.digikey.com/en/products/detail/kemet/C0603C103K5RACTU/411090</x:v>
      </x:c>
      <x:c r="L157" s="31" t="str"/>
    </x:row>
    <x:row r="158" ht="38" customHeight="1">
      <x:c r="A158" s="12" t="str">
        <x:v>C714</x:v>
      </x:c>
      <x:c r="B158" s="12" t="str">
        <x:v>1n 50V C0G</x:v>
      </x:c>
      <x:c r="C158" s="12" t="str">
        <x:v>Да</x:v>
      </x:c>
      <x:c r="D158" s="11" t="str">
        <x:v>C0603C102J1GACTU</x:v>
      </x:c>
      <x:c r="E158" s="12" t="str">
        <x:v>KEMET</x:v>
      </x:c>
      <x:c r="F158" s="11" t="str">
        <x:v>0603</x:v>
      </x:c>
      <x:c r="G158" s="12" t="str">
        <x:v>SURFACE_MOUNT</x:v>
      </x:c>
      <x:c r="H158" s="12" t="str">
        <x:v>SELECTED_CATALOG_ITEM</x:v>
      </x:c>
      <x:c r="I158" s="12" t="str">
        <x:v>Не выпущено</x:v>
      </x:c>
      <x:c r="J158" s="33" t="str">
        <x:v>capacitance_pf: 1000; rated_voltage_v: 100; dielectric: C0G; tolerance_pct: 5; temperature_min_c: -55; temperature_max_c: 125</x:v>
      </x:c>
      <x:c r="K158" s="33" t="str">
        <x:v>https://search.kemet.com/download/specsheet/C0603C102J1GACTU</x:v>
      </x:c>
      <x:c r="L158" s="33" t="str"/>
    </x:row>
    <x:row r="159" ht="38" customHeight="1">
      <x:c r="A159" s="2" t="str">
        <x:v>C715</x:v>
      </x:c>
      <x:c r="B159" s="2" t="str">
        <x:v>10n 16V X7R</x:v>
      </x:c>
      <x:c r="C159" s="2" t="str">
        <x:v>Да</x:v>
      </x:c>
      <x:c r="D159" s="8" t="str">
        <x:v>C0603C103K5RACTU</x:v>
      </x:c>
      <x:c r="E159" s="2" t="str">
        <x:v>KEMET</x:v>
      </x:c>
      <x:c r="F159" s="8" t="str">
        <x:v>0603</x:v>
      </x:c>
      <x:c r="G159" s="2" t="str">
        <x:v>SURFACE_MOUNT</x:v>
      </x:c>
      <x:c r="H159" s="2" t="str">
        <x:v>SELECTED_CATALOG_ITEM</x:v>
      </x:c>
      <x:c r="I159" s="2" t="str">
        <x:v>Не выпущено</x:v>
      </x:c>
      <x:c r="J159" s="31" t="str">
        <x:v>capacitance_pf: 10000; rated_voltage_v: 50; dielectric: X7R; tolerance_pct: 10; temperature_min_c: -55; temperature_max_c: 125</x:v>
      </x:c>
      <x:c r="K159" s="31" t="str">
        <x:v>https://www.digikey.com/en/products/detail/kemet/C0603C103K5RACTU/411090</x:v>
      </x:c>
      <x:c r="L159" s="31" t="str"/>
    </x:row>
    <x:row r="160" ht="38" customHeight="1">
      <x:c r="A160" s="12" t="str">
        <x:v>C716</x:v>
      </x:c>
      <x:c r="B160" s="12" t="str">
        <x:v>1n 50V C0G</x:v>
      </x:c>
      <x:c r="C160" s="12" t="str">
        <x:v>Да</x:v>
      </x:c>
      <x:c r="D160" s="11" t="str">
        <x:v>C0603C102J1GACTU</x:v>
      </x:c>
      <x:c r="E160" s="12" t="str">
        <x:v>KEMET</x:v>
      </x:c>
      <x:c r="F160" s="11" t="str">
        <x:v>0603</x:v>
      </x:c>
      <x:c r="G160" s="12" t="str">
        <x:v>SURFACE_MOUNT</x:v>
      </x:c>
      <x:c r="H160" s="12" t="str">
        <x:v>SELECTED_CATALOG_ITEM</x:v>
      </x:c>
      <x:c r="I160" s="12" t="str">
        <x:v>Не выпущено</x:v>
      </x:c>
      <x:c r="J160" s="33" t="str">
        <x:v>capacitance_pf: 1000; rated_voltage_v: 100; dielectric: C0G; tolerance_pct: 5; temperature_min_c: -55; temperature_max_c: 125</x:v>
      </x:c>
      <x:c r="K160" s="33" t="str">
        <x:v>https://search.kemet.com/download/specsheet/C0603C102J1GACTU</x:v>
      </x:c>
      <x:c r="L160" s="33" t="str"/>
    </x:row>
    <x:row r="161" ht="38" customHeight="1">
      <x:c r="A161" s="2" t="str">
        <x:v>C717</x:v>
      </x:c>
      <x:c r="B161" s="2" t="str">
        <x:v>10n 16V X7R</x:v>
      </x:c>
      <x:c r="C161" s="2" t="str">
        <x:v>Да</x:v>
      </x:c>
      <x:c r="D161" s="8" t="str">
        <x:v>C0603C103K5RACTU</x:v>
      </x:c>
      <x:c r="E161" s="2" t="str">
        <x:v>KEMET</x:v>
      </x:c>
      <x:c r="F161" s="8" t="str">
        <x:v>0603</x:v>
      </x:c>
      <x:c r="G161" s="2" t="str">
        <x:v>SURFACE_MOUNT</x:v>
      </x:c>
      <x:c r="H161" s="2" t="str">
        <x:v>SELECTED_CATALOG_ITEM</x:v>
      </x:c>
      <x:c r="I161" s="2" t="str">
        <x:v>Не выпущено</x:v>
      </x:c>
      <x:c r="J161" s="31" t="str">
        <x:v>capacitance_pf: 10000; rated_voltage_v: 50; dielectric: X7R; tolerance_pct: 10; temperature_min_c: -55; temperature_max_c: 125</x:v>
      </x:c>
      <x:c r="K161" s="31" t="str">
        <x:v>https://www.digikey.com/en/products/detail/kemet/C0603C103K5RACTU/411090</x:v>
      </x:c>
      <x:c r="L161" s="31" t="str"/>
    </x:row>
    <x:row r="162" ht="38" customHeight="1">
      <x:c r="A162" s="12" t="str">
        <x:v>C718</x:v>
      </x:c>
      <x:c r="B162" s="12" t="str">
        <x:v>1n 50V C0G</x:v>
      </x:c>
      <x:c r="C162" s="12" t="str">
        <x:v>Да</x:v>
      </x:c>
      <x:c r="D162" s="11" t="str">
        <x:v>C0603C102J1GACTU</x:v>
      </x:c>
      <x:c r="E162" s="12" t="str">
        <x:v>KEMET</x:v>
      </x:c>
      <x:c r="F162" s="11" t="str">
        <x:v>0603</x:v>
      </x:c>
      <x:c r="G162" s="12" t="str">
        <x:v>SURFACE_MOUNT</x:v>
      </x:c>
      <x:c r="H162" s="12" t="str">
        <x:v>SELECTED_CATALOG_ITEM</x:v>
      </x:c>
      <x:c r="I162" s="12" t="str">
        <x:v>Не выпущено</x:v>
      </x:c>
      <x:c r="J162" s="33" t="str">
        <x:v>capacitance_pf: 1000; rated_voltage_v: 100; dielectric: C0G; tolerance_pct: 5; temperature_min_c: -55; temperature_max_c: 125</x:v>
      </x:c>
      <x:c r="K162" s="33" t="str">
        <x:v>https://search.kemet.com/download/specsheet/C0603C102J1GACTU</x:v>
      </x:c>
      <x:c r="L162" s="33" t="str"/>
    </x:row>
    <x:row r="163" ht="38" customHeight="1">
      <x:c r="A163" s="2" t="str">
        <x:v>C719</x:v>
      </x:c>
      <x:c r="B163" s="2" t="str">
        <x:v>10n 16V X7R</x:v>
      </x:c>
      <x:c r="C163" s="2" t="str">
        <x:v>Да</x:v>
      </x:c>
      <x:c r="D163" s="8" t="str">
        <x:v>C0603C103K5RACTU</x:v>
      </x:c>
      <x:c r="E163" s="2" t="str">
        <x:v>KEMET</x:v>
      </x:c>
      <x:c r="F163" s="8" t="str">
        <x:v>0603</x:v>
      </x:c>
      <x:c r="G163" s="2" t="str">
        <x:v>SURFACE_MOUNT</x:v>
      </x:c>
      <x:c r="H163" s="2" t="str">
        <x:v>SELECTED_CATALOG_ITEM</x:v>
      </x:c>
      <x:c r="I163" s="2" t="str">
        <x:v>Не выпущено</x:v>
      </x:c>
      <x:c r="J163" s="31" t="str">
        <x:v>capacitance_pf: 10000; rated_voltage_v: 50; dielectric: X7R; tolerance_pct: 10; temperature_min_c: -55; temperature_max_c: 125</x:v>
      </x:c>
      <x:c r="K163" s="31" t="str">
        <x:v>https://www.digikey.com/en/products/detail/kemet/C0603C103K5RACTU/411090</x:v>
      </x:c>
      <x:c r="L163" s="31" t="str"/>
    </x:row>
    <x:row r="164" ht="38" customHeight="1">
      <x:c r="A164" s="12" t="str">
        <x:v>C720</x:v>
      </x:c>
      <x:c r="B164" s="12" t="str">
        <x:v>1n 50V C0G</x:v>
      </x:c>
      <x:c r="C164" s="12" t="str">
        <x:v>Да</x:v>
      </x:c>
      <x:c r="D164" s="11" t="str">
        <x:v>C0603C102J1GACTU</x:v>
      </x:c>
      <x:c r="E164" s="12" t="str">
        <x:v>KEMET</x:v>
      </x:c>
      <x:c r="F164" s="11" t="str">
        <x:v>0603</x:v>
      </x:c>
      <x:c r="G164" s="12" t="str">
        <x:v>SURFACE_MOUNT</x:v>
      </x:c>
      <x:c r="H164" s="12" t="str">
        <x:v>SELECTED_CATALOG_ITEM</x:v>
      </x:c>
      <x:c r="I164" s="12" t="str">
        <x:v>Не выпущено</x:v>
      </x:c>
      <x:c r="J164" s="33" t="str">
        <x:v>capacitance_pf: 1000; rated_voltage_v: 100; dielectric: C0G; tolerance_pct: 5; temperature_min_c: -55; temperature_max_c: 125</x:v>
      </x:c>
      <x:c r="K164" s="33" t="str">
        <x:v>https://search.kemet.com/download/specsheet/C0603C102J1GACTU</x:v>
      </x:c>
      <x:c r="L164" s="33" t="str"/>
    </x:row>
    <x:row r="165" ht="38" customHeight="1">
      <x:c r="A165" s="2" t="str">
        <x:v>C721</x:v>
      </x:c>
      <x:c r="B165" s="2" t="str">
        <x:v>10n 16V X7R</x:v>
      </x:c>
      <x:c r="C165" s="2" t="str">
        <x:v>Да</x:v>
      </x:c>
      <x:c r="D165" s="8" t="str">
        <x:v>C0603C103K5RACTU</x:v>
      </x:c>
      <x:c r="E165" s="2" t="str">
        <x:v>KEMET</x:v>
      </x:c>
      <x:c r="F165" s="8" t="str">
        <x:v>0603</x:v>
      </x:c>
      <x:c r="G165" s="2" t="str">
        <x:v>SURFACE_MOUNT</x:v>
      </x:c>
      <x:c r="H165" s="2" t="str">
        <x:v>SELECTED_CATALOG_ITEM</x:v>
      </x:c>
      <x:c r="I165" s="2" t="str">
        <x:v>Не выпущено</x:v>
      </x:c>
      <x:c r="J165" s="31" t="str">
        <x:v>capacitance_pf: 10000; rated_voltage_v: 50; dielectric: X7R; tolerance_pct: 10; temperature_min_c: -55; temperature_max_c: 125</x:v>
      </x:c>
      <x:c r="K165" s="31" t="str">
        <x:v>https://www.digikey.com/en/products/detail/kemet/C0603C103K5RACTU/411090</x:v>
      </x:c>
      <x:c r="L165" s="31" t="str"/>
    </x:row>
    <x:row r="166" ht="38" customHeight="1">
      <x:c r="A166" s="12" t="str">
        <x:v>C722</x:v>
      </x:c>
      <x:c r="B166" s="12" t="str">
        <x:v>1n 50V C0G</x:v>
      </x:c>
      <x:c r="C166" s="12" t="str">
        <x:v>Да</x:v>
      </x:c>
      <x:c r="D166" s="11" t="str">
        <x:v>C0603C102J1GACTU</x:v>
      </x:c>
      <x:c r="E166" s="12" t="str">
        <x:v>KEMET</x:v>
      </x:c>
      <x:c r="F166" s="11" t="str">
        <x:v>0603</x:v>
      </x:c>
      <x:c r="G166" s="12" t="str">
        <x:v>SURFACE_MOUNT</x:v>
      </x:c>
      <x:c r="H166" s="12" t="str">
        <x:v>SELECTED_CATALOG_ITEM</x:v>
      </x:c>
      <x:c r="I166" s="12" t="str">
        <x:v>Не выпущено</x:v>
      </x:c>
      <x:c r="J166" s="33" t="str">
        <x:v>capacitance_pf: 1000; rated_voltage_v: 100; dielectric: C0G; tolerance_pct: 5; temperature_min_c: -55; temperature_max_c: 125</x:v>
      </x:c>
      <x:c r="K166" s="33" t="str">
        <x:v>https://search.kemet.com/download/specsheet/C0603C102J1GACTU</x:v>
      </x:c>
      <x:c r="L166" s="33" t="str"/>
    </x:row>
    <x:row r="167" ht="38" customHeight="1">
      <x:c r="A167" s="2" t="str">
        <x:v>C723</x:v>
      </x:c>
      <x:c r="B167" s="2" t="str">
        <x:v>10n 16V X7R</x:v>
      </x:c>
      <x:c r="C167" s="2" t="str">
        <x:v>Да</x:v>
      </x:c>
      <x:c r="D167" s="8" t="str">
        <x:v>C0603C103K5RACTU</x:v>
      </x:c>
      <x:c r="E167" s="2" t="str">
        <x:v>KEMET</x:v>
      </x:c>
      <x:c r="F167" s="8" t="str">
        <x:v>0603</x:v>
      </x:c>
      <x:c r="G167" s="2" t="str">
        <x:v>SURFACE_MOUNT</x:v>
      </x:c>
      <x:c r="H167" s="2" t="str">
        <x:v>SELECTED_CATALOG_ITEM</x:v>
      </x:c>
      <x:c r="I167" s="2" t="str">
        <x:v>Не выпущено</x:v>
      </x:c>
      <x:c r="J167" s="31" t="str">
        <x:v>capacitance_pf: 10000; rated_voltage_v: 50; dielectric: X7R; tolerance_pct: 10; temperature_min_c: -55; temperature_max_c: 125</x:v>
      </x:c>
      <x:c r="K167" s="31" t="str">
        <x:v>https://www.digikey.com/en/products/detail/kemet/C0603C103K5RACTU/411090</x:v>
      </x:c>
      <x:c r="L167" s="31" t="str"/>
    </x:row>
    <x:row r="168" ht="38" customHeight="1">
      <x:c r="A168" s="12" t="str">
        <x:v>C724</x:v>
      </x:c>
      <x:c r="B168" s="12" t="str">
        <x:v>1n 50V C0G</x:v>
      </x:c>
      <x:c r="C168" s="12" t="str">
        <x:v>Да</x:v>
      </x:c>
      <x:c r="D168" s="11" t="str">
        <x:v>C0603C102J1GACTU</x:v>
      </x:c>
      <x:c r="E168" s="12" t="str">
        <x:v>KEMET</x:v>
      </x:c>
      <x:c r="F168" s="11" t="str">
        <x:v>0603</x:v>
      </x:c>
      <x:c r="G168" s="12" t="str">
        <x:v>SURFACE_MOUNT</x:v>
      </x:c>
      <x:c r="H168" s="12" t="str">
        <x:v>SELECTED_CATALOG_ITEM</x:v>
      </x:c>
      <x:c r="I168" s="12" t="str">
        <x:v>Не выпущено</x:v>
      </x:c>
      <x:c r="J168" s="33" t="str">
        <x:v>capacitance_pf: 1000; rated_voltage_v: 100; dielectric: C0G; tolerance_pct: 5; temperature_min_c: -55; temperature_max_c: 125</x:v>
      </x:c>
      <x:c r="K168" s="33" t="str">
        <x:v>https://search.kemet.com/download/specsheet/C0603C102J1GACTU</x:v>
      </x:c>
      <x:c r="L168" s="33" t="str"/>
    </x:row>
    <x:row r="169" ht="38" customHeight="1">
      <x:c r="A169" s="2" t="str">
        <x:v>C725</x:v>
      </x:c>
      <x:c r="B169" s="2" t="str">
        <x:v>10n 16V X7R</x:v>
      </x:c>
      <x:c r="C169" s="2" t="str">
        <x:v>Да</x:v>
      </x:c>
      <x:c r="D169" s="8" t="str">
        <x:v>C0603C103K5RACTU</x:v>
      </x:c>
      <x:c r="E169" s="2" t="str">
        <x:v>KEMET</x:v>
      </x:c>
      <x:c r="F169" s="8" t="str">
        <x:v>0603</x:v>
      </x:c>
      <x:c r="G169" s="2" t="str">
        <x:v>SURFACE_MOUNT</x:v>
      </x:c>
      <x:c r="H169" s="2" t="str">
        <x:v>SELECTED_CATALOG_ITEM</x:v>
      </x:c>
      <x:c r="I169" s="2" t="str">
        <x:v>Не выпущено</x:v>
      </x:c>
      <x:c r="J169" s="31" t="str">
        <x:v>capacitance_pf: 10000; rated_voltage_v: 50; dielectric: X7R; tolerance_pct: 10; temperature_min_c: -55; temperature_max_c: 125</x:v>
      </x:c>
      <x:c r="K169" s="31" t="str">
        <x:v>https://www.digikey.com/en/products/detail/kemet/C0603C103K5RACTU/411090</x:v>
      </x:c>
      <x:c r="L169" s="31" t="str"/>
    </x:row>
    <x:row r="170" ht="38" customHeight="1">
      <x:c r="A170" s="12" t="str">
        <x:v>C726</x:v>
      </x:c>
      <x:c r="B170" s="12" t="str">
        <x:v>1n 50V C0G</x:v>
      </x:c>
      <x:c r="C170" s="12" t="str">
        <x:v>Да</x:v>
      </x:c>
      <x:c r="D170" s="11" t="str">
        <x:v>C0603C102J1GACTU</x:v>
      </x:c>
      <x:c r="E170" s="12" t="str">
        <x:v>KEMET</x:v>
      </x:c>
      <x:c r="F170" s="11" t="str">
        <x:v>0603</x:v>
      </x:c>
      <x:c r="G170" s="12" t="str">
        <x:v>SURFACE_MOUNT</x:v>
      </x:c>
      <x:c r="H170" s="12" t="str">
        <x:v>SELECTED_CATALOG_ITEM</x:v>
      </x:c>
      <x:c r="I170" s="12" t="str">
        <x:v>Не выпущено</x:v>
      </x:c>
      <x:c r="J170" s="33" t="str">
        <x:v>capacitance_pf: 1000; rated_voltage_v: 100; dielectric: C0G; tolerance_pct: 5; temperature_min_c: -55; temperature_max_c: 125</x:v>
      </x:c>
      <x:c r="K170" s="33" t="str">
        <x:v>https://search.kemet.com/download/specsheet/C0603C102J1GACTU</x:v>
      </x:c>
      <x:c r="L170" s="33" t="str"/>
    </x:row>
    <x:row r="171" ht="38" customHeight="1">
      <x:c r="A171" s="2" t="str">
        <x:v>C727</x:v>
      </x:c>
      <x:c r="B171" s="2" t="str">
        <x:v>10n 16V X7R</x:v>
      </x:c>
      <x:c r="C171" s="2" t="str">
        <x:v>Да</x:v>
      </x:c>
      <x:c r="D171" s="8" t="str">
        <x:v>C0603C103K5RACTU</x:v>
      </x:c>
      <x:c r="E171" s="2" t="str">
        <x:v>KEMET</x:v>
      </x:c>
      <x:c r="F171" s="8" t="str">
        <x:v>0603</x:v>
      </x:c>
      <x:c r="G171" s="2" t="str">
        <x:v>SURFACE_MOUNT</x:v>
      </x:c>
      <x:c r="H171" s="2" t="str">
        <x:v>SELECTED_CATALOG_ITEM</x:v>
      </x:c>
      <x:c r="I171" s="2" t="str">
        <x:v>Не выпущено</x:v>
      </x:c>
      <x:c r="J171" s="31" t="str">
        <x:v>capacitance_pf: 10000; rated_voltage_v: 50; dielectric: X7R; tolerance_pct: 10; temperature_min_c: -55; temperature_max_c: 125</x:v>
      </x:c>
      <x:c r="K171" s="31" t="str">
        <x:v>https://www.digikey.com/en/products/detail/kemet/C0603C103K5RACTU/411090</x:v>
      </x:c>
      <x:c r="L171" s="31" t="str"/>
    </x:row>
    <x:row r="172" ht="38" customHeight="1">
      <x:c r="A172" s="12" t="str">
        <x:v>C728</x:v>
      </x:c>
      <x:c r="B172" s="12" t="str">
        <x:v>1n 50V C0G</x:v>
      </x:c>
      <x:c r="C172" s="12" t="str">
        <x:v>Да</x:v>
      </x:c>
      <x:c r="D172" s="11" t="str">
        <x:v>C0603C102J1GACTU</x:v>
      </x:c>
      <x:c r="E172" s="12" t="str">
        <x:v>KEMET</x:v>
      </x:c>
      <x:c r="F172" s="11" t="str">
        <x:v>0603</x:v>
      </x:c>
      <x:c r="G172" s="12" t="str">
        <x:v>SURFACE_MOUNT</x:v>
      </x:c>
      <x:c r="H172" s="12" t="str">
        <x:v>SELECTED_CATALOG_ITEM</x:v>
      </x:c>
      <x:c r="I172" s="12" t="str">
        <x:v>Не выпущено</x:v>
      </x:c>
      <x:c r="J172" s="33" t="str">
        <x:v>capacitance_pf: 1000; rated_voltage_v: 100; dielectric: C0G; tolerance_pct: 5; temperature_min_c: -55; temperature_max_c: 125</x:v>
      </x:c>
      <x:c r="K172" s="33" t="str">
        <x:v>https://search.kemet.com/download/specsheet/C0603C102J1GACTU</x:v>
      </x:c>
      <x:c r="L172" s="33" t="str"/>
    </x:row>
    <x:row r="173" ht="38" customHeight="1">
      <x:c r="A173" s="2" t="str">
        <x:v>C729</x:v>
      </x:c>
      <x:c r="B173" s="2" t="str">
        <x:v>10n 16V X7R</x:v>
      </x:c>
      <x:c r="C173" s="2" t="str">
        <x:v>Да</x:v>
      </x:c>
      <x:c r="D173" s="8" t="str">
        <x:v>C0603C103K5RACTU</x:v>
      </x:c>
      <x:c r="E173" s="2" t="str">
        <x:v>KEMET</x:v>
      </x:c>
      <x:c r="F173" s="8" t="str">
        <x:v>0603</x:v>
      </x:c>
      <x:c r="G173" s="2" t="str">
        <x:v>SURFACE_MOUNT</x:v>
      </x:c>
      <x:c r="H173" s="2" t="str">
        <x:v>SELECTED_CATALOG_ITEM</x:v>
      </x:c>
      <x:c r="I173" s="2" t="str">
        <x:v>Не выпущено</x:v>
      </x:c>
      <x:c r="J173" s="31" t="str">
        <x:v>capacitance_pf: 10000; rated_voltage_v: 50; dielectric: X7R; tolerance_pct: 10; temperature_min_c: -55; temperature_max_c: 125</x:v>
      </x:c>
      <x:c r="K173" s="31" t="str">
        <x:v>https://www.digikey.com/en/products/detail/kemet/C0603C103K5RACTU/411090</x:v>
      </x:c>
      <x:c r="L173" s="31" t="str"/>
    </x:row>
    <x:row r="174" ht="38" customHeight="1">
      <x:c r="A174" s="12" t="str">
        <x:v>C730</x:v>
      </x:c>
      <x:c r="B174" s="12" t="str">
        <x:v>1n 50V C0G</x:v>
      </x:c>
      <x:c r="C174" s="12" t="str">
        <x:v>Да</x:v>
      </x:c>
      <x:c r="D174" s="11" t="str">
        <x:v>C0603C102J1GACTU</x:v>
      </x:c>
      <x:c r="E174" s="12" t="str">
        <x:v>KEMET</x:v>
      </x:c>
      <x:c r="F174" s="11" t="str">
        <x:v>0603</x:v>
      </x:c>
      <x:c r="G174" s="12" t="str">
        <x:v>SURFACE_MOUNT</x:v>
      </x:c>
      <x:c r="H174" s="12" t="str">
        <x:v>SELECTED_CATALOG_ITEM</x:v>
      </x:c>
      <x:c r="I174" s="12" t="str">
        <x:v>Не выпущено</x:v>
      </x:c>
      <x:c r="J174" s="33" t="str">
        <x:v>capacitance_pf: 1000; rated_voltage_v: 100; dielectric: C0G; tolerance_pct: 5; temperature_min_c: -55; temperature_max_c: 125</x:v>
      </x:c>
      <x:c r="K174" s="33" t="str">
        <x:v>https://search.kemet.com/download/specsheet/C0603C102J1GACTU</x:v>
      </x:c>
      <x:c r="L174" s="33" t="str"/>
    </x:row>
    <x:row r="175" ht="38" customHeight="1">
      <x:c r="A175" s="2" t="str">
        <x:v>C731</x:v>
      </x:c>
      <x:c r="B175" s="2" t="str">
        <x:v>10n 16V X7R</x:v>
      </x:c>
      <x:c r="C175" s="2" t="str">
        <x:v>Да</x:v>
      </x:c>
      <x:c r="D175" s="8" t="str">
        <x:v>C0603C103K5RACTU</x:v>
      </x:c>
      <x:c r="E175" s="2" t="str">
        <x:v>KEMET</x:v>
      </x:c>
      <x:c r="F175" s="8" t="str">
        <x:v>0603</x:v>
      </x:c>
      <x:c r="G175" s="2" t="str">
        <x:v>SURFACE_MOUNT</x:v>
      </x:c>
      <x:c r="H175" s="2" t="str">
        <x:v>SELECTED_CATALOG_ITEM</x:v>
      </x:c>
      <x:c r="I175" s="2" t="str">
        <x:v>Не выпущено</x:v>
      </x:c>
      <x:c r="J175" s="31" t="str">
        <x:v>capacitance_pf: 10000; rated_voltage_v: 50; dielectric: X7R; tolerance_pct: 10; temperature_min_c: -55; temperature_max_c: 125</x:v>
      </x:c>
      <x:c r="K175" s="31" t="str">
        <x:v>https://www.digikey.com/en/products/detail/kemet/C0603C103K5RACTU/411090</x:v>
      </x:c>
      <x:c r="L175" s="31" t="str"/>
    </x:row>
    <x:row r="176" ht="38" customHeight="1">
      <x:c r="A176" s="12" t="str">
        <x:v>C732</x:v>
      </x:c>
      <x:c r="B176" s="12" t="str">
        <x:v>1n 50V C0G</x:v>
      </x:c>
      <x:c r="C176" s="12" t="str">
        <x:v>Да</x:v>
      </x:c>
      <x:c r="D176" s="11" t="str">
        <x:v>C0603C102J1GACTU</x:v>
      </x:c>
      <x:c r="E176" s="12" t="str">
        <x:v>KEMET</x:v>
      </x:c>
      <x:c r="F176" s="11" t="str">
        <x:v>0603</x:v>
      </x:c>
      <x:c r="G176" s="12" t="str">
        <x:v>SURFACE_MOUNT</x:v>
      </x:c>
      <x:c r="H176" s="12" t="str">
        <x:v>SELECTED_CATALOG_ITEM</x:v>
      </x:c>
      <x:c r="I176" s="12" t="str">
        <x:v>Не выпущено</x:v>
      </x:c>
      <x:c r="J176" s="33" t="str">
        <x:v>capacitance_pf: 1000; rated_voltage_v: 100; dielectric: C0G; tolerance_pct: 5; temperature_min_c: -55; temperature_max_c: 125</x:v>
      </x:c>
      <x:c r="K176" s="33" t="str">
        <x:v>https://search.kemet.com/download/specsheet/C0603C102J1GACTU</x:v>
      </x:c>
      <x:c r="L176" s="33" t="str"/>
    </x:row>
    <x:row r="177" ht="38" customHeight="1">
      <x:c r="A177" s="2" t="str">
        <x:v>C733</x:v>
      </x:c>
      <x:c r="B177" s="2" t="str">
        <x:v>10n 16V X7R</x:v>
      </x:c>
      <x:c r="C177" s="2" t="str">
        <x:v>Да</x:v>
      </x:c>
      <x:c r="D177" s="8" t="str">
        <x:v>C0603C103K5RACTU</x:v>
      </x:c>
      <x:c r="E177" s="2" t="str">
        <x:v>KEMET</x:v>
      </x:c>
      <x:c r="F177" s="8" t="str">
        <x:v>0603</x:v>
      </x:c>
      <x:c r="G177" s="2" t="str">
        <x:v>SURFACE_MOUNT</x:v>
      </x:c>
      <x:c r="H177" s="2" t="str">
        <x:v>SELECTED_CATALOG_ITEM</x:v>
      </x:c>
      <x:c r="I177" s="2" t="str">
        <x:v>Не выпущено</x:v>
      </x:c>
      <x:c r="J177" s="31" t="str">
        <x:v>capacitance_pf: 10000; rated_voltage_v: 50; dielectric: X7R; tolerance_pct: 10; temperature_min_c: -55; temperature_max_c: 125</x:v>
      </x:c>
      <x:c r="K177" s="31" t="str">
        <x:v>https://www.digikey.com/en/products/detail/kemet/C0603C103K5RACTU/411090</x:v>
      </x:c>
      <x:c r="L177" s="31" t="str"/>
    </x:row>
    <x:row r="178" ht="38" customHeight="1">
      <x:c r="A178" s="12" t="str">
        <x:v>C740</x:v>
      </x:c>
      <x:c r="B178" s="12" t="str">
        <x:v>100n 16V X7R</x:v>
      </x:c>
      <x:c r="C178" s="12" t="str">
        <x:v>Да</x:v>
      </x:c>
      <x:c r="D178" s="11" t="str">
        <x:v>C0603C104K5RACTU</x:v>
      </x:c>
      <x:c r="E178" s="12" t="str">
        <x:v>KEMET</x:v>
      </x:c>
      <x:c r="F178" s="11" t="str">
        <x:v>0603</x:v>
      </x:c>
      <x:c r="G178" s="12" t="str">
        <x:v>SURFACE_MOUNT</x:v>
      </x:c>
      <x:c r="H178" s="12" t="str">
        <x:v>SELECTED_CATALOG_ITEM</x:v>
      </x:c>
      <x:c r="I178" s="12" t="str">
        <x:v>Не выпущено</x:v>
      </x:c>
      <x:c r="J178" s="33" t="str">
        <x:v>capacitance_pf: 100000; rated_voltage_v: 50; dielectric: X7R; tolerance_pct: 10; temperature_min_c: -55; temperature_max_c: 125</x:v>
      </x:c>
      <x:c r="K178" s="33" t="str">
        <x:v>https://search.kemet.com/download/specsheet/C0603C104K5RACTU</x:v>
      </x:c>
      <x:c r="L178" s="33" t="str"/>
    </x:row>
    <x:row r="179" ht="38" customHeight="1">
      <x:c r="A179" s="2" t="str">
        <x:v>C741</x:v>
      </x:c>
      <x:c r="B179" s="2" t="str">
        <x:v>1u 16V X7R</x:v>
      </x:c>
      <x:c r="C179" s="2" t="str">
        <x:v>Да</x:v>
      </x:c>
      <x:c r="D179" s="8" t="str">
        <x:v>C0603C105K3RACTU</x:v>
      </x:c>
      <x:c r="E179" s="2" t="str">
        <x:v>KEMET</x:v>
      </x:c>
      <x:c r="F179" s="8" t="str">
        <x:v>0603</x:v>
      </x:c>
      <x:c r="G179" s="2" t="str">
        <x:v>SURFACE_MOUNT</x:v>
      </x:c>
      <x:c r="H179" s="2" t="str">
        <x:v>SELECTED_CATALOG_ITEM</x:v>
      </x:c>
      <x:c r="I179" s="2" t="str">
        <x:v>Не выпущено</x:v>
      </x:c>
      <x:c r="J179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179" s="31" t="str">
        <x:v>https://search.kemet.com/download/specsheet/C0603C105K3RACTU</x:v>
      </x:c>
      <x:c r="L179" s="31" t="str"/>
    </x:row>
    <x:row r="180" ht="38" customHeight="1">
      <x:c r="A180" s="12" t="str">
        <x:v>C742</x:v>
      </x:c>
      <x:c r="B180" s="12" t="str">
        <x:v>100n 16V X7R</x:v>
      </x:c>
      <x:c r="C180" s="12" t="str">
        <x:v>Да</x:v>
      </x:c>
      <x:c r="D180" s="11" t="str">
        <x:v>C0603C104K5RACTU</x:v>
      </x:c>
      <x:c r="E180" s="12" t="str">
        <x:v>KEMET</x:v>
      </x:c>
      <x:c r="F180" s="11" t="str">
        <x:v>0603</x:v>
      </x:c>
      <x:c r="G180" s="12" t="str">
        <x:v>SURFACE_MOUNT</x:v>
      </x:c>
      <x:c r="H180" s="12" t="str">
        <x:v>SELECTED_CATALOG_ITEM</x:v>
      </x:c>
      <x:c r="I180" s="12" t="str">
        <x:v>Не выпущено</x:v>
      </x:c>
      <x:c r="J180" s="33" t="str">
        <x:v>capacitance_pf: 100000; rated_voltage_v: 50; dielectric: X7R; tolerance_pct: 10; temperature_min_c: -55; temperature_max_c: 125</x:v>
      </x:c>
      <x:c r="K180" s="33" t="str">
        <x:v>https://search.kemet.com/download/specsheet/C0603C104K5RACTU</x:v>
      </x:c>
      <x:c r="L180" s="33" t="str"/>
    </x:row>
    <x:row r="181" ht="38" customHeight="1">
      <x:c r="A181" s="2" t="str">
        <x:v>C743</x:v>
      </x:c>
      <x:c r="B181" s="2" t="str">
        <x:v>1u 16V X7R</x:v>
      </x:c>
      <x:c r="C181" s="2" t="str">
        <x:v>Да</x:v>
      </x:c>
      <x:c r="D181" s="8" t="str">
        <x:v>C0603C105K3RACTU</x:v>
      </x:c>
      <x:c r="E181" s="2" t="str">
        <x:v>KEMET</x:v>
      </x:c>
      <x:c r="F181" s="8" t="str">
        <x:v>0603</x:v>
      </x:c>
      <x:c r="G181" s="2" t="str">
        <x:v>SURFACE_MOUNT</x:v>
      </x:c>
      <x:c r="H181" s="2" t="str">
        <x:v>SELECTED_CATALOG_ITEM</x:v>
      </x:c>
      <x:c r="I181" s="2" t="str">
        <x:v>Не выпущено</x:v>
      </x:c>
      <x:c r="J181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181" s="31" t="str">
        <x:v>https://search.kemet.com/download/specsheet/C0603C105K3RACTU</x:v>
      </x:c>
      <x:c r="L181" s="31" t="str"/>
    </x:row>
    <x:row r="182" ht="38" customHeight="1">
      <x:c r="A182" s="12" t="str">
        <x:v>C744</x:v>
      </x:c>
      <x:c r="B182" s="12" t="str">
        <x:v>100n 16V X7R</x:v>
      </x:c>
      <x:c r="C182" s="12" t="str">
        <x:v>Да</x:v>
      </x:c>
      <x:c r="D182" s="11" t="str">
        <x:v>C0603C104K5RACTU</x:v>
      </x:c>
      <x:c r="E182" s="12" t="str">
        <x:v>KEMET</x:v>
      </x:c>
      <x:c r="F182" s="11" t="str">
        <x:v>0603</x:v>
      </x:c>
      <x:c r="G182" s="12" t="str">
        <x:v>SURFACE_MOUNT</x:v>
      </x:c>
      <x:c r="H182" s="12" t="str">
        <x:v>SELECTED_CATALOG_ITEM</x:v>
      </x:c>
      <x:c r="I182" s="12" t="str">
        <x:v>Не выпущено</x:v>
      </x:c>
      <x:c r="J182" s="33" t="str">
        <x:v>capacitance_pf: 100000; rated_voltage_v: 50; dielectric: X7R; tolerance_pct: 10; temperature_min_c: -55; temperature_max_c: 125</x:v>
      </x:c>
      <x:c r="K182" s="33" t="str">
        <x:v>https://search.kemet.com/download/specsheet/C0603C104K5RACTU</x:v>
      </x:c>
      <x:c r="L182" s="33" t="str"/>
    </x:row>
    <x:row r="183" ht="38" customHeight="1">
      <x:c r="A183" s="2" t="str">
        <x:v>C745</x:v>
      </x:c>
      <x:c r="B183" s="2" t="str">
        <x:v>1u 16V X7R</x:v>
      </x:c>
      <x:c r="C183" s="2" t="str">
        <x:v>Да</x:v>
      </x:c>
      <x:c r="D183" s="8" t="str">
        <x:v>C0603C105K3RACTU</x:v>
      </x:c>
      <x:c r="E183" s="2" t="str">
        <x:v>KEMET</x:v>
      </x:c>
      <x:c r="F183" s="8" t="str">
        <x:v>0603</x:v>
      </x:c>
      <x:c r="G183" s="2" t="str">
        <x:v>SURFACE_MOUNT</x:v>
      </x:c>
      <x:c r="H183" s="2" t="str">
        <x:v>SELECTED_CATALOG_ITEM</x:v>
      </x:c>
      <x:c r="I183" s="2" t="str">
        <x:v>Не выпущено</x:v>
      </x:c>
      <x:c r="J183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183" s="31" t="str">
        <x:v>https://search.kemet.com/download/specsheet/C0603C105K3RACTU</x:v>
      </x:c>
      <x:c r="L183" s="31" t="str"/>
    </x:row>
    <x:row r="184" ht="38" customHeight="1">
      <x:c r="A184" s="12" t="str">
        <x:v>C746</x:v>
      </x:c>
      <x:c r="B184" s="12" t="str">
        <x:v>100n 16V X7R</x:v>
      </x:c>
      <x:c r="C184" s="12" t="str">
        <x:v>Да</x:v>
      </x:c>
      <x:c r="D184" s="11" t="str">
        <x:v>C0603C104K5RACTU</x:v>
      </x:c>
      <x:c r="E184" s="12" t="str">
        <x:v>KEMET</x:v>
      </x:c>
      <x:c r="F184" s="11" t="str">
        <x:v>0603</x:v>
      </x:c>
      <x:c r="G184" s="12" t="str">
        <x:v>SURFACE_MOUNT</x:v>
      </x:c>
      <x:c r="H184" s="12" t="str">
        <x:v>SELECTED_CATALOG_ITEM</x:v>
      </x:c>
      <x:c r="I184" s="12" t="str">
        <x:v>Не выпущено</x:v>
      </x:c>
      <x:c r="J184" s="33" t="str">
        <x:v>capacitance_pf: 100000; rated_voltage_v: 50; dielectric: X7R; tolerance_pct: 10; temperature_min_c: -55; temperature_max_c: 125</x:v>
      </x:c>
      <x:c r="K184" s="33" t="str">
        <x:v>https://search.kemet.com/download/specsheet/C0603C104K5RACTU</x:v>
      </x:c>
      <x:c r="L184" s="33" t="str"/>
    </x:row>
    <x:row r="185" ht="38" customHeight="1">
      <x:c r="A185" s="2" t="str">
        <x:v>C747</x:v>
      </x:c>
      <x:c r="B185" s="2" t="str">
        <x:v>1u 16V X7R</x:v>
      </x:c>
      <x:c r="C185" s="2" t="str">
        <x:v>Да</x:v>
      </x:c>
      <x:c r="D185" s="8" t="str">
        <x:v>C0603C105K3RACTU</x:v>
      </x:c>
      <x:c r="E185" s="2" t="str">
        <x:v>KEMET</x:v>
      </x:c>
      <x:c r="F185" s="8" t="str">
        <x:v>0603</x:v>
      </x:c>
      <x:c r="G185" s="2" t="str">
        <x:v>SURFACE_MOUNT</x:v>
      </x:c>
      <x:c r="H185" s="2" t="str">
        <x:v>SELECTED_CATALOG_ITEM</x:v>
      </x:c>
      <x:c r="I185" s="2" t="str">
        <x:v>Не выпущено</x:v>
      </x:c>
      <x:c r="J185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185" s="31" t="str">
        <x:v>https://search.kemet.com/download/specsheet/C0603C105K3RACTU</x:v>
      </x:c>
      <x:c r="L185" s="31" t="str"/>
    </x:row>
    <x:row r="186" ht="38" customHeight="1">
      <x:c r="A186" s="12" t="str">
        <x:v>C748</x:v>
      </x:c>
      <x:c r="B186" s="12" t="str">
        <x:v>100n 16V X7R</x:v>
      </x:c>
      <x:c r="C186" s="12" t="str">
        <x:v>Да</x:v>
      </x:c>
      <x:c r="D186" s="11" t="str">
        <x:v>C0603C104K5RACTU</x:v>
      </x:c>
      <x:c r="E186" s="12" t="str">
        <x:v>KEMET</x:v>
      </x:c>
      <x:c r="F186" s="11" t="str">
        <x:v>0603</x:v>
      </x:c>
      <x:c r="G186" s="12" t="str">
        <x:v>SURFACE_MOUNT</x:v>
      </x:c>
      <x:c r="H186" s="12" t="str">
        <x:v>SELECTED_CATALOG_ITEM</x:v>
      </x:c>
      <x:c r="I186" s="12" t="str">
        <x:v>Не выпущено</x:v>
      </x:c>
      <x:c r="J186" s="33" t="str">
        <x:v>capacitance_pf: 100000; rated_voltage_v: 50; dielectric: X7R; tolerance_pct: 10; temperature_min_c: -55; temperature_max_c: 125</x:v>
      </x:c>
      <x:c r="K186" s="33" t="str">
        <x:v>https://search.kemet.com/download/specsheet/C0603C104K5RACTU</x:v>
      </x:c>
      <x:c r="L186" s="33" t="str"/>
    </x:row>
    <x:row r="187" ht="38" customHeight="1">
      <x:c r="A187" s="2" t="str">
        <x:v>C749</x:v>
      </x:c>
      <x:c r="B187" s="2" t="str">
        <x:v>1u 16V X7R</x:v>
      </x:c>
      <x:c r="C187" s="2" t="str">
        <x:v>Да</x:v>
      </x:c>
      <x:c r="D187" s="8" t="str">
        <x:v>C0603C105K3RACTU</x:v>
      </x:c>
      <x:c r="E187" s="2" t="str">
        <x:v>KEMET</x:v>
      </x:c>
      <x:c r="F187" s="8" t="str">
        <x:v>0603</x:v>
      </x:c>
      <x:c r="G187" s="2" t="str">
        <x:v>SURFACE_MOUNT</x:v>
      </x:c>
      <x:c r="H187" s="2" t="str">
        <x:v>SELECTED_CATALOG_ITEM</x:v>
      </x:c>
      <x:c r="I187" s="2" t="str">
        <x:v>Не выпущено</x:v>
      </x:c>
      <x:c r="J187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187" s="31" t="str">
        <x:v>https://search.kemet.com/download/specsheet/C0603C105K3RACTU</x:v>
      </x:c>
      <x:c r="L187" s="31" t="str"/>
    </x:row>
    <x:row r="188" ht="38" customHeight="1">
      <x:c r="A188" s="12" t="str">
        <x:v>C750</x:v>
      </x:c>
      <x:c r="B188" s="12" t="str">
        <x:v>47p 100V C0G</x:v>
      </x:c>
      <x:c r="C188" s="12" t="str">
        <x:v>Да</x:v>
      </x:c>
      <x:c r="D188" s="11" t="str">
        <x:v>C0603C470J1GACTU</x:v>
      </x:c>
      <x:c r="E188" s="12" t="str">
        <x:v>KEMET</x:v>
      </x:c>
      <x:c r="F188" s="11" t="str">
        <x:v>0603</x:v>
      </x:c>
      <x:c r="G188" s="12" t="str">
        <x:v>SURFACE_MOUNT</x:v>
      </x:c>
      <x:c r="H188" s="12" t="str">
        <x:v>SELECTED_CATALOG_ITEM</x:v>
      </x:c>
      <x:c r="I188" s="12" t="str">
        <x:v>Не выпущено</x:v>
      </x:c>
      <x:c r="J188" s="33" t="str">
        <x:v>capacitance_pf: 47; rated_voltage_v: 100; dielectric: C0G; tolerance_pct: 5; temperature_min_c: -55; temperature_max_c: 125</x:v>
      </x:c>
      <x:c r="K188" s="33" t="str">
        <x:v>https://www.digikey.com/en/products/detail/kemet/C0603C470J1GACTU/2200767</x:v>
      </x:c>
      <x:c r="L188" s="33" t="str"/>
    </x:row>
    <x:row r="189" ht="38" customHeight="1">
      <x:c r="A189" s="2" t="str">
        <x:v>C751</x:v>
      </x:c>
      <x:c r="B189" s="2" t="str">
        <x:v>47p 100V C0G</x:v>
      </x:c>
      <x:c r="C189" s="2" t="str">
        <x:v>Да</x:v>
      </x:c>
      <x:c r="D189" s="8" t="str">
        <x:v>C0603C470J1GACTU</x:v>
      </x:c>
      <x:c r="E189" s="2" t="str">
        <x:v>KEMET</x:v>
      </x:c>
      <x:c r="F189" s="8" t="str">
        <x:v>0603</x:v>
      </x:c>
      <x:c r="G189" s="2" t="str">
        <x:v>SURFACE_MOUNT</x:v>
      </x:c>
      <x:c r="H189" s="2" t="str">
        <x:v>SELECTED_CATALOG_ITEM</x:v>
      </x:c>
      <x:c r="I189" s="2" t="str">
        <x:v>Не выпущено</x:v>
      </x:c>
      <x:c r="J189" s="31" t="str">
        <x:v>capacitance_pf: 47; rated_voltage_v: 100; dielectric: C0G; tolerance_pct: 5; temperature_min_c: -55; temperature_max_c: 125</x:v>
      </x:c>
      <x:c r="K189" s="31" t="str">
        <x:v>https://www.digikey.com/en/products/detail/kemet/C0603C470J1GACTU/2200767</x:v>
      </x:c>
      <x:c r="L189" s="31" t="str"/>
    </x:row>
    <x:row r="190" ht="38" customHeight="1">
      <x:c r="A190" s="12" t="str">
        <x:v>C752</x:v>
      </x:c>
      <x:c r="B190" s="12" t="str">
        <x:v>47p 100V C0G</x:v>
      </x:c>
      <x:c r="C190" s="12" t="str">
        <x:v>Да</x:v>
      </x:c>
      <x:c r="D190" s="11" t="str">
        <x:v>C0603C470J1GACTU</x:v>
      </x:c>
      <x:c r="E190" s="12" t="str">
        <x:v>KEMET</x:v>
      </x:c>
      <x:c r="F190" s="11" t="str">
        <x:v>0603</x:v>
      </x:c>
      <x:c r="G190" s="12" t="str">
        <x:v>SURFACE_MOUNT</x:v>
      </x:c>
      <x:c r="H190" s="12" t="str">
        <x:v>SELECTED_CATALOG_ITEM</x:v>
      </x:c>
      <x:c r="I190" s="12" t="str">
        <x:v>Не выпущено</x:v>
      </x:c>
      <x:c r="J190" s="33" t="str">
        <x:v>capacitance_pf: 47; rated_voltage_v: 100; dielectric: C0G; tolerance_pct: 5; temperature_min_c: -55; temperature_max_c: 125</x:v>
      </x:c>
      <x:c r="K190" s="33" t="str">
        <x:v>https://www.digikey.com/en/products/detail/kemet/C0603C470J1GACTU/2200767</x:v>
      </x:c>
      <x:c r="L190" s="33" t="str"/>
    </x:row>
    <x:row r="191" ht="38" customHeight="1">
      <x:c r="A191" s="2" t="str">
        <x:v>C753</x:v>
      </x:c>
      <x:c r="B191" s="2" t="str">
        <x:v>47p 100V C0G</x:v>
      </x:c>
      <x:c r="C191" s="2" t="str">
        <x:v>Да</x:v>
      </x:c>
      <x:c r="D191" s="8" t="str">
        <x:v>C0603C470J1GACTU</x:v>
      </x:c>
      <x:c r="E191" s="2" t="str">
        <x:v>KEMET</x:v>
      </x:c>
      <x:c r="F191" s="8" t="str">
        <x:v>0603</x:v>
      </x:c>
      <x:c r="G191" s="2" t="str">
        <x:v>SURFACE_MOUNT</x:v>
      </x:c>
      <x:c r="H191" s="2" t="str">
        <x:v>SELECTED_CATALOG_ITEM</x:v>
      </x:c>
      <x:c r="I191" s="2" t="str">
        <x:v>Не выпущено</x:v>
      </x:c>
      <x:c r="J191" s="31" t="str">
        <x:v>capacitance_pf: 47; rated_voltage_v: 100; dielectric: C0G; tolerance_pct: 5; temperature_min_c: -55; temperature_max_c: 125</x:v>
      </x:c>
      <x:c r="K191" s="31" t="str">
        <x:v>https://www.digikey.com/en/products/detail/kemet/C0603C470J1GACTU/2200767</x:v>
      </x:c>
      <x:c r="L191" s="31" t="str"/>
    </x:row>
    <x:row r="192" ht="38" customHeight="1">
      <x:c r="A192" s="12" t="str">
        <x:v>C754</x:v>
      </x:c>
      <x:c r="B192" s="12" t="str">
        <x:v>47p 100V C0G</x:v>
      </x:c>
      <x:c r="C192" s="12" t="str">
        <x:v>Да</x:v>
      </x:c>
      <x:c r="D192" s="11" t="str">
        <x:v>C0603C470J1GACTU</x:v>
      </x:c>
      <x:c r="E192" s="12" t="str">
        <x:v>KEMET</x:v>
      </x:c>
      <x:c r="F192" s="11" t="str">
        <x:v>0603</x:v>
      </x:c>
      <x:c r="G192" s="12" t="str">
        <x:v>SURFACE_MOUNT</x:v>
      </x:c>
      <x:c r="H192" s="12" t="str">
        <x:v>SELECTED_CATALOG_ITEM</x:v>
      </x:c>
      <x:c r="I192" s="12" t="str">
        <x:v>Не выпущено</x:v>
      </x:c>
      <x:c r="J192" s="33" t="str">
        <x:v>capacitance_pf: 47; rated_voltage_v: 100; dielectric: C0G; tolerance_pct: 5; temperature_min_c: -55; temperature_max_c: 125</x:v>
      </x:c>
      <x:c r="K192" s="33" t="str">
        <x:v>https://www.digikey.com/en/products/detail/kemet/C0603C470J1GACTU/2200767</x:v>
      </x:c>
      <x:c r="L192" s="33" t="str"/>
    </x:row>
    <x:row r="193" ht="38" customHeight="1">
      <x:c r="A193" s="2" t="str">
        <x:v>C755</x:v>
      </x:c>
      <x:c r="B193" s="2" t="str">
        <x:v>47p 100V C0G</x:v>
      </x:c>
      <x:c r="C193" s="2" t="str">
        <x:v>Да</x:v>
      </x:c>
      <x:c r="D193" s="8" t="str">
        <x:v>C0603C470J1GACTU</x:v>
      </x:c>
      <x:c r="E193" s="2" t="str">
        <x:v>KEMET</x:v>
      </x:c>
      <x:c r="F193" s="8" t="str">
        <x:v>0603</x:v>
      </x:c>
      <x:c r="G193" s="2" t="str">
        <x:v>SURFACE_MOUNT</x:v>
      </x:c>
      <x:c r="H193" s="2" t="str">
        <x:v>SELECTED_CATALOG_ITEM</x:v>
      </x:c>
      <x:c r="I193" s="2" t="str">
        <x:v>Не выпущено</x:v>
      </x:c>
      <x:c r="J193" s="31" t="str">
        <x:v>capacitance_pf: 47; rated_voltage_v: 100; dielectric: C0G; tolerance_pct: 5; temperature_min_c: -55; temperature_max_c: 125</x:v>
      </x:c>
      <x:c r="K193" s="31" t="str">
        <x:v>https://www.digikey.com/en/products/detail/kemet/C0603C470J1GACTU/2200767</x:v>
      </x:c>
      <x:c r="L193" s="31" t="str"/>
    </x:row>
    <x:row r="194" ht="38" customHeight="1">
      <x:c r="A194" s="12" t="str">
        <x:v>C756</x:v>
      </x:c>
      <x:c r="B194" s="12" t="str">
        <x:v>47p 100V C0G</x:v>
      </x:c>
      <x:c r="C194" s="12" t="str">
        <x:v>Да</x:v>
      </x:c>
      <x:c r="D194" s="11" t="str">
        <x:v>C0603C470J1GACTU</x:v>
      </x:c>
      <x:c r="E194" s="12" t="str">
        <x:v>KEMET</x:v>
      </x:c>
      <x:c r="F194" s="11" t="str">
        <x:v>0603</x:v>
      </x:c>
      <x:c r="G194" s="12" t="str">
        <x:v>SURFACE_MOUNT</x:v>
      </x:c>
      <x:c r="H194" s="12" t="str">
        <x:v>SELECTED_CATALOG_ITEM</x:v>
      </x:c>
      <x:c r="I194" s="12" t="str">
        <x:v>Не выпущено</x:v>
      </x:c>
      <x:c r="J194" s="33" t="str">
        <x:v>capacitance_pf: 47; rated_voltage_v: 100; dielectric: C0G; tolerance_pct: 5; temperature_min_c: -55; temperature_max_c: 125</x:v>
      </x:c>
      <x:c r="K194" s="33" t="str">
        <x:v>https://www.digikey.com/en/products/detail/kemet/C0603C470J1GACTU/2200767</x:v>
      </x:c>
      <x:c r="L194" s="33" t="str"/>
    </x:row>
    <x:row r="195" ht="38" customHeight="1">
      <x:c r="A195" s="2" t="str">
        <x:v>C757</x:v>
      </x:c>
      <x:c r="B195" s="2" t="str">
        <x:v>47p 100V C0G</x:v>
      </x:c>
      <x:c r="C195" s="2" t="str">
        <x:v>Да</x:v>
      </x:c>
      <x:c r="D195" s="8" t="str">
        <x:v>C0603C470J1GACTU</x:v>
      </x:c>
      <x:c r="E195" s="2" t="str">
        <x:v>KEMET</x:v>
      </x:c>
      <x:c r="F195" s="8" t="str">
        <x:v>0603</x:v>
      </x:c>
      <x:c r="G195" s="2" t="str">
        <x:v>SURFACE_MOUNT</x:v>
      </x:c>
      <x:c r="H195" s="2" t="str">
        <x:v>SELECTED_CATALOG_ITEM</x:v>
      </x:c>
      <x:c r="I195" s="2" t="str">
        <x:v>Не выпущено</x:v>
      </x:c>
      <x:c r="J195" s="31" t="str">
        <x:v>capacitance_pf: 47; rated_voltage_v: 100; dielectric: C0G; tolerance_pct: 5; temperature_min_c: -55; temperature_max_c: 125</x:v>
      </x:c>
      <x:c r="K195" s="31" t="str">
        <x:v>https://www.digikey.com/en/products/detail/kemet/C0603C470J1GACTU/2200767</x:v>
      </x:c>
      <x:c r="L195" s="31" t="str"/>
    </x:row>
    <x:row r="196" ht="38" customHeight="1">
      <x:c r="A196" s="12" t="str">
        <x:v>C758</x:v>
      </x:c>
      <x:c r="B196" s="12" t="str">
        <x:v>100n 16V X7R</x:v>
      </x:c>
      <x:c r="C196" s="12" t="str">
        <x:v>Да</x:v>
      </x:c>
      <x:c r="D196" s="11" t="str">
        <x:v>C0603C104K5RACTU</x:v>
      </x:c>
      <x:c r="E196" s="12" t="str">
        <x:v>KEMET</x:v>
      </x:c>
      <x:c r="F196" s="11" t="str">
        <x:v>0603</x:v>
      </x:c>
      <x:c r="G196" s="12" t="str">
        <x:v>SURFACE_MOUNT</x:v>
      </x:c>
      <x:c r="H196" s="12" t="str">
        <x:v>SELECTED_CATALOG_ITEM</x:v>
      </x:c>
      <x:c r="I196" s="12" t="str">
        <x:v>Не выпущено</x:v>
      </x:c>
      <x:c r="J196" s="33" t="str">
        <x:v>capacitance_pf: 100000; rated_voltage_v: 50; dielectric: X7R; tolerance_pct: 10; temperature_min_c: -55; temperature_max_c: 125</x:v>
      </x:c>
      <x:c r="K196" s="33" t="str">
        <x:v>https://search.kemet.com/download/specsheet/C0603C104K5RACTU</x:v>
      </x:c>
      <x:c r="L196" s="33" t="str"/>
    </x:row>
    <x:row r="197" ht="38" customHeight="1">
      <x:c r="A197" s="2" t="str">
        <x:v>C759</x:v>
      </x:c>
      <x:c r="B197" s="2" t="str">
        <x:v>100n 16V X7R</x:v>
      </x:c>
      <x:c r="C197" s="2" t="str">
        <x:v>Да</x:v>
      </x:c>
      <x:c r="D197" s="8" t="str">
        <x:v>C0603C104K5RACTU</x:v>
      </x:c>
      <x:c r="E197" s="2" t="str">
        <x:v>KEMET</x:v>
      </x:c>
      <x:c r="F197" s="8" t="str">
        <x:v>0603</x:v>
      </x:c>
      <x:c r="G197" s="2" t="str">
        <x:v>SURFACE_MOUNT</x:v>
      </x:c>
      <x:c r="H197" s="2" t="str">
        <x:v>SELECTED_CATALOG_ITEM</x:v>
      </x:c>
      <x:c r="I197" s="2" t="str">
        <x:v>Не выпущено</x:v>
      </x:c>
      <x:c r="J197" s="31" t="str">
        <x:v>capacitance_pf: 100000; rated_voltage_v: 50; dielectric: X7R; tolerance_pct: 10; temperature_min_c: -55; temperature_max_c: 125</x:v>
      </x:c>
      <x:c r="K197" s="31" t="str">
        <x:v>https://search.kemet.com/download/specsheet/C0603C104K5RACTU</x:v>
      </x:c>
      <x:c r="L197" s="31" t="str"/>
    </x:row>
    <x:row r="198" ht="38" customHeight="1">
      <x:c r="A198" s="12" t="str">
        <x:v>C760</x:v>
      </x:c>
      <x:c r="B198" s="12" t="str">
        <x:v>1n 100V C0G</x:v>
      </x:c>
      <x:c r="C198" s="12" t="str">
        <x:v>Да</x:v>
      </x:c>
      <x:c r="D198" s="11" t="str">
        <x:v>C0603C102J1GACTU</x:v>
      </x:c>
      <x:c r="E198" s="12" t="str">
        <x:v>KEMET</x:v>
      </x:c>
      <x:c r="F198" s="11" t="str">
        <x:v>0603</x:v>
      </x:c>
      <x:c r="G198" s="12" t="str">
        <x:v>SURFACE_MOUNT</x:v>
      </x:c>
      <x:c r="H198" s="12" t="str">
        <x:v>SELECTED_CATALOG_ITEM</x:v>
      </x:c>
      <x:c r="I198" s="12" t="str">
        <x:v>Не выпущено</x:v>
      </x:c>
      <x:c r="J198" s="33" t="str">
        <x:v>capacitance_pf: 1000; rated_voltage_v: 100; dielectric: C0G; tolerance_pct: 5; temperature_min_c: -55; temperature_max_c: 125</x:v>
      </x:c>
      <x:c r="K198" s="33" t="str">
        <x:v>https://search.kemet.com/download/specsheet/C0603C102J1GACTU</x:v>
      </x:c>
      <x:c r="L198" s="33" t="str"/>
    </x:row>
    <x:row r="199" ht="38" customHeight="1">
      <x:c r="A199" s="2" t="str">
        <x:v>C761</x:v>
      </x:c>
      <x:c r="B199" s="2" t="str">
        <x:v>100n 16V X7R</x:v>
      </x:c>
      <x:c r="C199" s="2" t="str">
        <x:v>Да</x:v>
      </x:c>
      <x:c r="D199" s="8" t="str">
        <x:v>C0603C104K5RACTU</x:v>
      </x:c>
      <x:c r="E199" s="2" t="str">
        <x:v>KEMET</x:v>
      </x:c>
      <x:c r="F199" s="8" t="str">
        <x:v>0603</x:v>
      </x:c>
      <x:c r="G199" s="2" t="str">
        <x:v>SURFACE_MOUNT</x:v>
      </x:c>
      <x:c r="H199" s="2" t="str">
        <x:v>SELECTED_CATALOG_ITEM</x:v>
      </x:c>
      <x:c r="I199" s="2" t="str">
        <x:v>Не выпущено</x:v>
      </x:c>
      <x:c r="J199" s="31" t="str">
        <x:v>capacitance_pf: 100000; rated_voltage_v: 50; dielectric: X7R; tolerance_pct: 10; temperature_min_c: -55; temperature_max_c: 125</x:v>
      </x:c>
      <x:c r="K199" s="31" t="str">
        <x:v>https://search.kemet.com/download/specsheet/C0603C104K5RACTU</x:v>
      </x:c>
      <x:c r="L199" s="31" t="str"/>
    </x:row>
    <x:row r="200" ht="38" customHeight="1">
      <x:c r="A200" s="12" t="str">
        <x:v>C762</x:v>
      </x:c>
      <x:c r="B200" s="12" t="str">
        <x:v>1u 16V X7R</x:v>
      </x:c>
      <x:c r="C200" s="12" t="str">
        <x:v>Да</x:v>
      </x:c>
      <x:c r="D200" s="11" t="str">
        <x:v>C0603C105K3RACTU</x:v>
      </x:c>
      <x:c r="E200" s="12" t="str">
        <x:v>KEMET</x:v>
      </x:c>
      <x:c r="F200" s="11" t="str">
        <x:v>0603</x:v>
      </x:c>
      <x:c r="G200" s="12" t="str">
        <x:v>SURFACE_MOUNT</x:v>
      </x:c>
      <x:c r="H200" s="12" t="str">
        <x:v>SELECTED_CATALOG_ITEM</x:v>
      </x:c>
      <x:c r="I200" s="12" t="str">
        <x:v>Не выпущено</x:v>
      </x:c>
      <x:c r="J200" s="33" t="str">
        <x:v>capacitance_pf: 1000000; rated_voltage_v: 25; dielectric: X7R; tolerance_pct: 10; temperature_min_c: -55; temperature_max_c: 125; effective_capacitance_min_pf: None; dc_bias_qualification: PENDING_AT_ACTUAL_NODE_VOLTAGE</x:v>
      </x:c>
      <x:c r="K200" s="33" t="str">
        <x:v>https://search.kemet.com/download/specsheet/C0603C105K3RACTU</x:v>
      </x:c>
      <x:c r="L200" s="33" t="str"/>
    </x:row>
    <x:row r="201" ht="38" customHeight="1">
      <x:c r="A201" s="2" t="str">
        <x:v>C801</x:v>
      </x:c>
      <x:c r="B201" s="2" t="str">
        <x:v>100nF 25V X7R</x:v>
      </x:c>
      <x:c r="C201" s="2" t="str">
        <x:v>Да</x:v>
      </x:c>
      <x:c r="D201" s="8" t="str">
        <x:v>C0603C104K5RACTU</x:v>
      </x:c>
      <x:c r="E201" s="2" t="str">
        <x:v>KEMET</x:v>
      </x:c>
      <x:c r="F201" s="8" t="str">
        <x:v>0603</x:v>
      </x:c>
      <x:c r="G201" s="2" t="str">
        <x:v>SURFACE_MOUNT</x:v>
      </x:c>
      <x:c r="H201" s="2" t="str">
        <x:v>SELECTED_CATALOG_ITEM</x:v>
      </x:c>
      <x:c r="I201" s="2" t="str">
        <x:v>Не выпущено</x:v>
      </x:c>
      <x:c r="J201" s="31" t="str">
        <x:v>capacitance_pf: 100000; rated_voltage_v: 50; dielectric: X7R; tolerance_pct: 10; temperature_min_c: -55; temperature_max_c: 125</x:v>
      </x:c>
      <x:c r="K201" s="31" t="str">
        <x:v>https://search.kemet.com/download/specsheet/C0603C104K5RACTU</x:v>
      </x:c>
      <x:c r="L201" s="31" t="str"/>
    </x:row>
    <x:row r="202" ht="38" customHeight="1">
      <x:c r="A202" s="12" t="str">
        <x:v>C802</x:v>
      </x:c>
      <x:c r="B202" s="12" t="str">
        <x:v>100nF 25V X7R</x:v>
      </x:c>
      <x:c r="C202" s="12" t="str">
        <x:v>Да</x:v>
      </x:c>
      <x:c r="D202" s="11" t="str">
        <x:v>C0603C104K5RACTU</x:v>
      </x:c>
      <x:c r="E202" s="12" t="str">
        <x:v>KEMET</x:v>
      </x:c>
      <x:c r="F202" s="11" t="str">
        <x:v>0603</x:v>
      </x:c>
      <x:c r="G202" s="12" t="str">
        <x:v>SURFACE_MOUNT</x:v>
      </x:c>
      <x:c r="H202" s="12" t="str">
        <x:v>SELECTED_CATALOG_ITEM</x:v>
      </x:c>
      <x:c r="I202" s="12" t="str">
        <x:v>Не выпущено</x:v>
      </x:c>
      <x:c r="J202" s="33" t="str">
        <x:v>capacitance_pf: 100000; rated_voltage_v: 50; dielectric: X7R; tolerance_pct: 10; temperature_min_c: -55; temperature_max_c: 125</x:v>
      </x:c>
      <x:c r="K202" s="33" t="str">
        <x:v>https://search.kemet.com/download/specsheet/C0603C104K5RACTU</x:v>
      </x:c>
      <x:c r="L202" s="33" t="str"/>
    </x:row>
    <x:row r="203" ht="38" customHeight="1">
      <x:c r="A203" s="2" t="str">
        <x:v>C803</x:v>
      </x:c>
      <x:c r="B203" s="2" t="str">
        <x:v>100nF 25V X7R</x:v>
      </x:c>
      <x:c r="C203" s="2" t="str">
        <x:v>Да</x:v>
      </x:c>
      <x:c r="D203" s="8" t="str">
        <x:v>C0603C104K5RACTU</x:v>
      </x:c>
      <x:c r="E203" s="2" t="str">
        <x:v>KEMET</x:v>
      </x:c>
      <x:c r="F203" s="8" t="str">
        <x:v>0603</x:v>
      </x:c>
      <x:c r="G203" s="2" t="str">
        <x:v>SURFACE_MOUNT</x:v>
      </x:c>
      <x:c r="H203" s="2" t="str">
        <x:v>SELECTED_CATALOG_ITEM</x:v>
      </x:c>
      <x:c r="I203" s="2" t="str">
        <x:v>Не выпущено</x:v>
      </x:c>
      <x:c r="J203" s="31" t="str">
        <x:v>capacitance_pf: 100000; rated_voltage_v: 50; dielectric: X7R; tolerance_pct: 10; temperature_min_c: -55; temperature_max_c: 125</x:v>
      </x:c>
      <x:c r="K203" s="31" t="str">
        <x:v>https://search.kemet.com/download/specsheet/C0603C104K5RACTU</x:v>
      </x:c>
      <x:c r="L203" s="31" t="str"/>
    </x:row>
    <x:row r="204" ht="38" customHeight="1">
      <x:c r="A204" s="12" t="str">
        <x:v>C804</x:v>
      </x:c>
      <x:c r="B204" s="12" t="str">
        <x:v>100nF 25V X7R</x:v>
      </x:c>
      <x:c r="C204" s="12" t="str">
        <x:v>Да</x:v>
      </x:c>
      <x:c r="D204" s="11" t="str">
        <x:v>C0603C104K5RACTU</x:v>
      </x:c>
      <x:c r="E204" s="12" t="str">
        <x:v>KEMET</x:v>
      </x:c>
      <x:c r="F204" s="11" t="str">
        <x:v>0603</x:v>
      </x:c>
      <x:c r="G204" s="12" t="str">
        <x:v>SURFACE_MOUNT</x:v>
      </x:c>
      <x:c r="H204" s="12" t="str">
        <x:v>SELECTED_CATALOG_ITEM</x:v>
      </x:c>
      <x:c r="I204" s="12" t="str">
        <x:v>Не выпущено</x:v>
      </x:c>
      <x:c r="J204" s="33" t="str">
        <x:v>capacitance_pf: 100000; rated_voltage_v: 50; dielectric: X7R; tolerance_pct: 10; temperature_min_c: -55; temperature_max_c: 125</x:v>
      </x:c>
      <x:c r="K204" s="33" t="str">
        <x:v>https://search.kemet.com/download/specsheet/C0603C104K5RACTU</x:v>
      </x:c>
      <x:c r="L204" s="33" t="str"/>
    </x:row>
    <x:row r="205" ht="38" customHeight="1">
      <x:c r="A205" s="2" t="str">
        <x:v>C806</x:v>
      </x:c>
      <x:c r="B205" s="2" t="str">
        <x:v>120pF 50V C0G 1%</x:v>
      </x:c>
      <x:c r="C205" s="2" t="str">
        <x:v>Да</x:v>
      </x:c>
      <x:c r="D205" s="8" t="str">
        <x:v>C0603C121F5GACTU</x:v>
      </x:c>
      <x:c r="E205" s="2" t="str">
        <x:v>KEMET</x:v>
      </x:c>
      <x:c r="F205" s="8" t="str">
        <x:v>0603</x:v>
      </x:c>
      <x:c r="G205" s="2" t="str">
        <x:v>SURFACE_MOUNT</x:v>
      </x:c>
      <x:c r="H205" s="2" t="str">
        <x:v>SELECTED_CATALOG_ITEM</x:v>
      </x:c>
      <x:c r="I205" s="2" t="str">
        <x:v>Не выпущено</x:v>
      </x:c>
      <x:c r="J205" s="31" t="str">
        <x:v>capacitance_pf: 120; rated_voltage_v: 50; dielectric: C0G; tolerance_pct: 1; temperature_min_c: -55; temperature_max_c: 125</x:v>
      </x:c>
      <x:c r="K205" s="31" t="str">
        <x:v>https://www.digikey.com/en/products/detail/kemet/C0603C121F5GACTU/2199842</x:v>
      </x:c>
      <x:c r="L205" s="31" t="str"/>
    </x:row>
    <x:row r="206" ht="38" customHeight="1">
      <x:c r="A206" s="12" t="str">
        <x:v>C807</x:v>
      </x:c>
      <x:c r="B206" s="12" t="str">
        <x:v>100nF 25V X7R</x:v>
      </x:c>
      <x:c r="C206" s="12" t="str">
        <x:v>Да</x:v>
      </x:c>
      <x:c r="D206" s="11" t="str">
        <x:v>C0603C104K5RACTU</x:v>
      </x:c>
      <x:c r="E206" s="12" t="str">
        <x:v>KEMET</x:v>
      </x:c>
      <x:c r="F206" s="11" t="str">
        <x:v>0603</x:v>
      </x:c>
      <x:c r="G206" s="12" t="str">
        <x:v>SURFACE_MOUNT</x:v>
      </x:c>
      <x:c r="H206" s="12" t="str">
        <x:v>SELECTED_CATALOG_ITEM</x:v>
      </x:c>
      <x:c r="I206" s="12" t="str">
        <x:v>Не выпущено</x:v>
      </x:c>
      <x:c r="J206" s="33" t="str">
        <x:v>capacitance_pf: 100000; rated_voltage_v: 50; dielectric: X7R; tolerance_pct: 10; temperature_min_c: -55; temperature_max_c: 125</x:v>
      </x:c>
      <x:c r="K206" s="33" t="str">
        <x:v>https://search.kemet.com/download/specsheet/C0603C104K5RACTU</x:v>
      </x:c>
      <x:c r="L206" s="33" t="str"/>
    </x:row>
    <x:row r="207" ht="38" customHeight="1">
      <x:c r="A207" s="2" t="str">
        <x:v>C808</x:v>
      </x:c>
      <x:c r="B207" s="2" t="str">
        <x:v>1nF 50V C0G 5%</x:v>
      </x:c>
      <x:c r="C207" s="2" t="str">
        <x:v>Да</x:v>
      </x:c>
      <x:c r="D207" s="8" t="str">
        <x:v>C0603C102J1GACTU</x:v>
      </x:c>
      <x:c r="E207" s="2" t="str">
        <x:v>KEMET</x:v>
      </x:c>
      <x:c r="F207" s="8" t="str">
        <x:v>0603</x:v>
      </x:c>
      <x:c r="G207" s="2" t="str">
        <x:v>SURFACE_MOUNT</x:v>
      </x:c>
      <x:c r="H207" s="2" t="str">
        <x:v>SELECTED_CATALOG_ITEM</x:v>
      </x:c>
      <x:c r="I207" s="2" t="str">
        <x:v>Не выпущено</x:v>
      </x:c>
      <x:c r="J207" s="31" t="str">
        <x:v>capacitance_pf: 1000; rated_voltage_v: 100; dielectric: C0G; tolerance_pct: 5; temperature_min_c: -55; temperature_max_c: 125</x:v>
      </x:c>
      <x:c r="K207" s="31" t="str">
        <x:v>https://search.kemet.com/download/specsheet/C0603C102J1GACTU</x:v>
      </x:c>
      <x:c r="L207" s="31" t="str"/>
    </x:row>
    <x:row r="208" ht="38" customHeight="1">
      <x:c r="A208" s="12" t="str">
        <x:v>C1101</x:v>
      </x:c>
      <x:c r="B208" s="12" t="str">
        <x:v>100n 16V X7R</x:v>
      </x:c>
      <x:c r="C208" s="12" t="str">
        <x:v>Да</x:v>
      </x:c>
      <x:c r="D208" s="11" t="str">
        <x:v>C0603C104K5RACTU</x:v>
      </x:c>
      <x:c r="E208" s="12" t="str">
        <x:v>KEMET</x:v>
      </x:c>
      <x:c r="F208" s="11" t="str">
        <x:v>0603</x:v>
      </x:c>
      <x:c r="G208" s="12" t="str">
        <x:v>SURFACE_MOUNT</x:v>
      </x:c>
      <x:c r="H208" s="12" t="str">
        <x:v>SELECTED_CATALOG_ITEM</x:v>
      </x:c>
      <x:c r="I208" s="12" t="str">
        <x:v>Не выпущено</x:v>
      </x:c>
      <x:c r="J208" s="33" t="str">
        <x:v>capacitance_pf: 100000; rated_voltage_v: 50; dielectric: X7R; tolerance_pct: 10; temperature_min_c: -55; temperature_max_c: 125</x:v>
      </x:c>
      <x:c r="K208" s="33" t="str">
        <x:v>https://search.kemet.com/download/specsheet/C0603C104K5RACTU</x:v>
      </x:c>
      <x:c r="L208" s="33" t="str"/>
    </x:row>
    <x:row r="209" ht="38" customHeight="1">
      <x:c r="A209" s="2" t="str">
        <x:v>C1102</x:v>
      </x:c>
      <x:c r="B209" s="2" t="str">
        <x:v>100n 16V X7R</x:v>
      </x:c>
      <x:c r="C209" s="2" t="str">
        <x:v>Да</x:v>
      </x:c>
      <x:c r="D209" s="8" t="str">
        <x:v>C0603C104K5RACTU</x:v>
      </x:c>
      <x:c r="E209" s="2" t="str">
        <x:v>KEMET</x:v>
      </x:c>
      <x:c r="F209" s="8" t="str">
        <x:v>0603</x:v>
      </x:c>
      <x:c r="G209" s="2" t="str">
        <x:v>SURFACE_MOUNT</x:v>
      </x:c>
      <x:c r="H209" s="2" t="str">
        <x:v>SELECTED_CATALOG_ITEM</x:v>
      </x:c>
      <x:c r="I209" s="2" t="str">
        <x:v>Не выпущено</x:v>
      </x:c>
      <x:c r="J209" s="31" t="str">
        <x:v>capacitance_pf: 100000; rated_voltage_v: 50; dielectric: X7R; tolerance_pct: 10; temperature_min_c: -55; temperature_max_c: 125</x:v>
      </x:c>
      <x:c r="K209" s="31" t="str">
        <x:v>https://search.kemet.com/download/specsheet/C0603C104K5RACTU</x:v>
      </x:c>
      <x:c r="L209" s="31" t="str"/>
    </x:row>
    <x:row r="210" ht="38" customHeight="1">
      <x:c r="A210" s="12" t="str">
        <x:v>C1103</x:v>
      </x:c>
      <x:c r="B210" s="12" t="str">
        <x:v>100n 16V X7R</x:v>
      </x:c>
      <x:c r="C210" s="12" t="str">
        <x:v>Да</x:v>
      </x:c>
      <x:c r="D210" s="11" t="str">
        <x:v>C0603C104K5RACTU</x:v>
      </x:c>
      <x:c r="E210" s="12" t="str">
        <x:v>KEMET</x:v>
      </x:c>
      <x:c r="F210" s="11" t="str">
        <x:v>0603</x:v>
      </x:c>
      <x:c r="G210" s="12" t="str">
        <x:v>SURFACE_MOUNT</x:v>
      </x:c>
      <x:c r="H210" s="12" t="str">
        <x:v>SELECTED_CATALOG_ITEM</x:v>
      </x:c>
      <x:c r="I210" s="12" t="str">
        <x:v>Не выпущено</x:v>
      </x:c>
      <x:c r="J210" s="33" t="str">
        <x:v>capacitance_pf: 100000; rated_voltage_v: 50; dielectric: X7R; tolerance_pct: 10; temperature_min_c: -55; temperature_max_c: 125</x:v>
      </x:c>
      <x:c r="K210" s="33" t="str">
        <x:v>https://search.kemet.com/download/specsheet/C0603C104K5RACTU</x:v>
      </x:c>
      <x:c r="L210" s="33" t="str"/>
    </x:row>
    <x:row r="211" ht="38" customHeight="1">
      <x:c r="A211" s="2" t="str">
        <x:v>C1104</x:v>
      </x:c>
      <x:c r="B211" s="2" t="str">
        <x:v>1u 16V X7R</x:v>
      </x:c>
      <x:c r="C211" s="2" t="str">
        <x:v>Да</x:v>
      </x:c>
      <x:c r="D211" s="8" t="str">
        <x:v>C0603C105K3RACTU</x:v>
      </x:c>
      <x:c r="E211" s="2" t="str">
        <x:v>KEMET</x:v>
      </x:c>
      <x:c r="F211" s="8" t="str">
        <x:v>0603</x:v>
      </x:c>
      <x:c r="G211" s="2" t="str">
        <x:v>SURFACE_MOUNT</x:v>
      </x:c>
      <x:c r="H211" s="2" t="str">
        <x:v>SELECTED_CATALOG_ITEM</x:v>
      </x:c>
      <x:c r="I211" s="2" t="str">
        <x:v>Не выпущено</x:v>
      </x:c>
      <x:c r="J211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11" s="31" t="str">
        <x:v>https://search.kemet.com/download/specsheet/C0603C105K3RACTU</x:v>
      </x:c>
      <x:c r="L211" s="31" t="str"/>
    </x:row>
    <x:row r="212" ht="38" customHeight="1">
      <x:c r="A212" s="12" t="str">
        <x:v>C1121</x:v>
      </x:c>
      <x:c r="B212" s="12" t="str">
        <x:v>100n 16V X7R</x:v>
      </x:c>
      <x:c r="C212" s="12" t="str">
        <x:v>Да</x:v>
      </x:c>
      <x:c r="D212" s="11" t="str">
        <x:v>C0603C104K5RACTU</x:v>
      </x:c>
      <x:c r="E212" s="12" t="str">
        <x:v>KEMET</x:v>
      </x:c>
      <x:c r="F212" s="11" t="str">
        <x:v>0603</x:v>
      </x:c>
      <x:c r="G212" s="12" t="str">
        <x:v>SURFACE_MOUNT</x:v>
      </x:c>
      <x:c r="H212" s="12" t="str">
        <x:v>SELECTED_CATALOG_ITEM</x:v>
      </x:c>
      <x:c r="I212" s="12" t="str">
        <x:v>Не выпущено</x:v>
      </x:c>
      <x:c r="J212" s="33" t="str">
        <x:v>capacitance_pf: 100000; rated_voltage_v: 50; dielectric: X7R; tolerance_pct: 10; temperature_min_c: -55; temperature_max_c: 125</x:v>
      </x:c>
      <x:c r="K212" s="33" t="str">
        <x:v>https://search.kemet.com/download/specsheet/C0603C104K5RACTU</x:v>
      </x:c>
      <x:c r="L212" s="33" t="str"/>
    </x:row>
    <x:row r="213" ht="38" customHeight="1">
      <x:c r="A213" s="2" t="str">
        <x:v>C1122</x:v>
      </x:c>
      <x:c r="B213" s="2" t="str">
        <x:v>100n 16V X7R</x:v>
      </x:c>
      <x:c r="C213" s="2" t="str">
        <x:v>Да</x:v>
      </x:c>
      <x:c r="D213" s="8" t="str">
        <x:v>C0603C104K5RACTU</x:v>
      </x:c>
      <x:c r="E213" s="2" t="str">
        <x:v>KEMET</x:v>
      </x:c>
      <x:c r="F213" s="8" t="str">
        <x:v>0603</x:v>
      </x:c>
      <x:c r="G213" s="2" t="str">
        <x:v>SURFACE_MOUNT</x:v>
      </x:c>
      <x:c r="H213" s="2" t="str">
        <x:v>SELECTED_CATALOG_ITEM</x:v>
      </x:c>
      <x:c r="I213" s="2" t="str">
        <x:v>Не выпущено</x:v>
      </x:c>
      <x:c r="J213" s="31" t="str">
        <x:v>capacitance_pf: 100000; rated_voltage_v: 50; dielectric: X7R; tolerance_pct: 10; temperature_min_c: -55; temperature_max_c: 125</x:v>
      </x:c>
      <x:c r="K213" s="31" t="str">
        <x:v>https://search.kemet.com/download/specsheet/C0603C104K5RACTU</x:v>
      </x:c>
      <x:c r="L213" s="31" t="str"/>
    </x:row>
    <x:row r="214" ht="38" customHeight="1">
      <x:c r="A214" s="12" t="str">
        <x:v>C1123</x:v>
      </x:c>
      <x:c r="B214" s="12" t="str">
        <x:v>100n 16V X7R</x:v>
      </x:c>
      <x:c r="C214" s="12" t="str">
        <x:v>Да</x:v>
      </x:c>
      <x:c r="D214" s="11" t="str">
        <x:v>C0603C104K5RACTU</x:v>
      </x:c>
      <x:c r="E214" s="12" t="str">
        <x:v>KEMET</x:v>
      </x:c>
      <x:c r="F214" s="11" t="str">
        <x:v>0603</x:v>
      </x:c>
      <x:c r="G214" s="12" t="str">
        <x:v>SURFACE_MOUNT</x:v>
      </x:c>
      <x:c r="H214" s="12" t="str">
        <x:v>SELECTED_CATALOG_ITEM</x:v>
      </x:c>
      <x:c r="I214" s="12" t="str">
        <x:v>Не выпущено</x:v>
      </x:c>
      <x:c r="J214" s="33" t="str">
        <x:v>capacitance_pf: 100000; rated_voltage_v: 50; dielectric: X7R; tolerance_pct: 10; temperature_min_c: -55; temperature_max_c: 125</x:v>
      </x:c>
      <x:c r="K214" s="33" t="str">
        <x:v>https://search.kemet.com/download/specsheet/C0603C104K5RACTU</x:v>
      </x:c>
      <x:c r="L214" s="33" t="str"/>
    </x:row>
    <x:row r="215" ht="38" customHeight="1">
      <x:c r="A215" s="2" t="str">
        <x:v>C1124</x:v>
      </x:c>
      <x:c r="B215" s="2" t="str">
        <x:v>1u 16V X7R</x:v>
      </x:c>
      <x:c r="C215" s="2" t="str">
        <x:v>Да</x:v>
      </x:c>
      <x:c r="D215" s="8" t="str">
        <x:v>C0603C105K3RACTU</x:v>
      </x:c>
      <x:c r="E215" s="2" t="str">
        <x:v>KEMET</x:v>
      </x:c>
      <x:c r="F215" s="8" t="str">
        <x:v>0603</x:v>
      </x:c>
      <x:c r="G215" s="2" t="str">
        <x:v>SURFACE_MOUNT</x:v>
      </x:c>
      <x:c r="H215" s="2" t="str">
        <x:v>SELECTED_CATALOG_ITEM</x:v>
      </x:c>
      <x:c r="I215" s="2" t="str">
        <x:v>Не выпущено</x:v>
      </x:c>
      <x:c r="J215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15" s="31" t="str">
        <x:v>https://search.kemet.com/download/specsheet/C0603C105K3RACTU</x:v>
      </x:c>
      <x:c r="L215" s="31" t="str"/>
    </x:row>
    <x:row r="216" ht="38" customHeight="1">
      <x:c r="A216" s="12" t="str">
        <x:v>C1141</x:v>
      </x:c>
      <x:c r="B216" s="12" t="str">
        <x:v>100n 16V X7R</x:v>
      </x:c>
      <x:c r="C216" s="12" t="str">
        <x:v>Да</x:v>
      </x:c>
      <x:c r="D216" s="11" t="str">
        <x:v>C0603C104K5RACTU</x:v>
      </x:c>
      <x:c r="E216" s="12" t="str">
        <x:v>KEMET</x:v>
      </x:c>
      <x:c r="F216" s="11" t="str">
        <x:v>0603</x:v>
      </x:c>
      <x:c r="G216" s="12" t="str">
        <x:v>SURFACE_MOUNT</x:v>
      </x:c>
      <x:c r="H216" s="12" t="str">
        <x:v>SELECTED_CATALOG_ITEM</x:v>
      </x:c>
      <x:c r="I216" s="12" t="str">
        <x:v>Не выпущено</x:v>
      </x:c>
      <x:c r="J216" s="33" t="str">
        <x:v>capacitance_pf: 100000; rated_voltage_v: 50; dielectric: X7R; tolerance_pct: 10; temperature_min_c: -55; temperature_max_c: 125</x:v>
      </x:c>
      <x:c r="K216" s="33" t="str">
        <x:v>https://search.kemet.com/download/specsheet/C0603C104K5RACTU</x:v>
      </x:c>
      <x:c r="L216" s="33" t="str"/>
    </x:row>
    <x:row r="217" ht="38" customHeight="1">
      <x:c r="A217" s="2" t="str">
        <x:v>C1142</x:v>
      </x:c>
      <x:c r="B217" s="2" t="str">
        <x:v>100n 16V X7R</x:v>
      </x:c>
      <x:c r="C217" s="2" t="str">
        <x:v>Да</x:v>
      </x:c>
      <x:c r="D217" s="8" t="str">
        <x:v>C0603C104K5RACTU</x:v>
      </x:c>
      <x:c r="E217" s="2" t="str">
        <x:v>KEMET</x:v>
      </x:c>
      <x:c r="F217" s="8" t="str">
        <x:v>0603</x:v>
      </x:c>
      <x:c r="G217" s="2" t="str">
        <x:v>SURFACE_MOUNT</x:v>
      </x:c>
      <x:c r="H217" s="2" t="str">
        <x:v>SELECTED_CATALOG_ITEM</x:v>
      </x:c>
      <x:c r="I217" s="2" t="str">
        <x:v>Не выпущено</x:v>
      </x:c>
      <x:c r="J217" s="31" t="str">
        <x:v>capacitance_pf: 100000; rated_voltage_v: 50; dielectric: X7R; tolerance_pct: 10; temperature_min_c: -55; temperature_max_c: 125</x:v>
      </x:c>
      <x:c r="K217" s="31" t="str">
        <x:v>https://search.kemet.com/download/specsheet/C0603C104K5RACTU</x:v>
      </x:c>
      <x:c r="L217" s="31" t="str"/>
    </x:row>
    <x:row r="218" ht="38" customHeight="1">
      <x:c r="A218" s="12" t="str">
        <x:v>C1143</x:v>
      </x:c>
      <x:c r="B218" s="12" t="str">
        <x:v>100n 16V X7R</x:v>
      </x:c>
      <x:c r="C218" s="12" t="str">
        <x:v>Да</x:v>
      </x:c>
      <x:c r="D218" s="11" t="str">
        <x:v>C0603C104K5RACTU</x:v>
      </x:c>
      <x:c r="E218" s="12" t="str">
        <x:v>KEMET</x:v>
      </x:c>
      <x:c r="F218" s="11" t="str">
        <x:v>0603</x:v>
      </x:c>
      <x:c r="G218" s="12" t="str">
        <x:v>SURFACE_MOUNT</x:v>
      </x:c>
      <x:c r="H218" s="12" t="str">
        <x:v>SELECTED_CATALOG_ITEM</x:v>
      </x:c>
      <x:c r="I218" s="12" t="str">
        <x:v>Не выпущено</x:v>
      </x:c>
      <x:c r="J218" s="33" t="str">
        <x:v>capacitance_pf: 100000; rated_voltage_v: 50; dielectric: X7R; tolerance_pct: 10; temperature_min_c: -55; temperature_max_c: 125</x:v>
      </x:c>
      <x:c r="K218" s="33" t="str">
        <x:v>https://search.kemet.com/download/specsheet/C0603C104K5RACTU</x:v>
      </x:c>
      <x:c r="L218" s="33" t="str"/>
    </x:row>
    <x:row r="219" ht="38" customHeight="1">
      <x:c r="A219" s="2" t="str">
        <x:v>C1144</x:v>
      </x:c>
      <x:c r="B219" s="2" t="str">
        <x:v>1u 16V X7R</x:v>
      </x:c>
      <x:c r="C219" s="2" t="str">
        <x:v>Да</x:v>
      </x:c>
      <x:c r="D219" s="8" t="str">
        <x:v>C0603C105K3RACTU</x:v>
      </x:c>
      <x:c r="E219" s="2" t="str">
        <x:v>KEMET</x:v>
      </x:c>
      <x:c r="F219" s="8" t="str">
        <x:v>0603</x:v>
      </x:c>
      <x:c r="G219" s="2" t="str">
        <x:v>SURFACE_MOUNT</x:v>
      </x:c>
      <x:c r="H219" s="2" t="str">
        <x:v>SELECTED_CATALOG_ITEM</x:v>
      </x:c>
      <x:c r="I219" s="2" t="str">
        <x:v>Не выпущено</x:v>
      </x:c>
      <x:c r="J219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19" s="31" t="str">
        <x:v>https://search.kemet.com/download/specsheet/C0603C105K3RACTU</x:v>
      </x:c>
      <x:c r="L219" s="31" t="str"/>
    </x:row>
    <x:row r="220" ht="38" customHeight="1">
      <x:c r="A220" s="12" t="str">
        <x:v>C1161</x:v>
      </x:c>
      <x:c r="B220" s="12" t="str">
        <x:v>100n 16V X7R</x:v>
      </x:c>
      <x:c r="C220" s="12" t="str">
        <x:v>Да</x:v>
      </x:c>
      <x:c r="D220" s="11" t="str">
        <x:v>C0603C104K5RACTU</x:v>
      </x:c>
      <x:c r="E220" s="12" t="str">
        <x:v>KEMET</x:v>
      </x:c>
      <x:c r="F220" s="11" t="str">
        <x:v>0603</x:v>
      </x:c>
      <x:c r="G220" s="12" t="str">
        <x:v>SURFACE_MOUNT</x:v>
      </x:c>
      <x:c r="H220" s="12" t="str">
        <x:v>SELECTED_CATALOG_ITEM</x:v>
      </x:c>
      <x:c r="I220" s="12" t="str">
        <x:v>Не выпущено</x:v>
      </x:c>
      <x:c r="J220" s="33" t="str">
        <x:v>capacitance_pf: 100000; rated_voltage_v: 50; dielectric: X7R; tolerance_pct: 10; temperature_min_c: -55; temperature_max_c: 125</x:v>
      </x:c>
      <x:c r="K220" s="33" t="str">
        <x:v>https://search.kemet.com/download/specsheet/C0603C104K5RACTU</x:v>
      </x:c>
      <x:c r="L220" s="33" t="str"/>
    </x:row>
    <x:row r="221" ht="38" customHeight="1">
      <x:c r="A221" s="2" t="str">
        <x:v>C1162</x:v>
      </x:c>
      <x:c r="B221" s="2" t="str">
        <x:v>100n 16V X7R</x:v>
      </x:c>
      <x:c r="C221" s="2" t="str">
        <x:v>Да</x:v>
      </x:c>
      <x:c r="D221" s="8" t="str">
        <x:v>C0603C104K5RACTU</x:v>
      </x:c>
      <x:c r="E221" s="2" t="str">
        <x:v>KEMET</x:v>
      </x:c>
      <x:c r="F221" s="8" t="str">
        <x:v>0603</x:v>
      </x:c>
      <x:c r="G221" s="2" t="str">
        <x:v>SURFACE_MOUNT</x:v>
      </x:c>
      <x:c r="H221" s="2" t="str">
        <x:v>SELECTED_CATALOG_ITEM</x:v>
      </x:c>
      <x:c r="I221" s="2" t="str">
        <x:v>Не выпущено</x:v>
      </x:c>
      <x:c r="J221" s="31" t="str">
        <x:v>capacitance_pf: 100000; rated_voltage_v: 50; dielectric: X7R; tolerance_pct: 10; temperature_min_c: -55; temperature_max_c: 125</x:v>
      </x:c>
      <x:c r="K221" s="31" t="str">
        <x:v>https://search.kemet.com/download/specsheet/C0603C104K5RACTU</x:v>
      </x:c>
      <x:c r="L221" s="31" t="str"/>
    </x:row>
    <x:row r="222" ht="38" customHeight="1">
      <x:c r="A222" s="12" t="str">
        <x:v>C1163</x:v>
      </x:c>
      <x:c r="B222" s="12" t="str">
        <x:v>100n 16V X7R</x:v>
      </x:c>
      <x:c r="C222" s="12" t="str">
        <x:v>Да</x:v>
      </x:c>
      <x:c r="D222" s="11" t="str">
        <x:v>C0603C104K5RACTU</x:v>
      </x:c>
      <x:c r="E222" s="12" t="str">
        <x:v>KEMET</x:v>
      </x:c>
      <x:c r="F222" s="11" t="str">
        <x:v>0603</x:v>
      </x:c>
      <x:c r="G222" s="12" t="str">
        <x:v>SURFACE_MOUNT</x:v>
      </x:c>
      <x:c r="H222" s="12" t="str">
        <x:v>SELECTED_CATALOG_ITEM</x:v>
      </x:c>
      <x:c r="I222" s="12" t="str">
        <x:v>Не выпущено</x:v>
      </x:c>
      <x:c r="J222" s="33" t="str">
        <x:v>capacitance_pf: 100000; rated_voltage_v: 50; dielectric: X7R; tolerance_pct: 10; temperature_min_c: -55; temperature_max_c: 125</x:v>
      </x:c>
      <x:c r="K222" s="33" t="str">
        <x:v>https://search.kemet.com/download/specsheet/C0603C104K5RACTU</x:v>
      </x:c>
      <x:c r="L222" s="33" t="str"/>
    </x:row>
    <x:row r="223" ht="38" customHeight="1">
      <x:c r="A223" s="2" t="str">
        <x:v>C1164</x:v>
      </x:c>
      <x:c r="B223" s="2" t="str">
        <x:v>1u 16V X7R</x:v>
      </x:c>
      <x:c r="C223" s="2" t="str">
        <x:v>Да</x:v>
      </x:c>
      <x:c r="D223" s="8" t="str">
        <x:v>C0603C105K3RACTU</x:v>
      </x:c>
      <x:c r="E223" s="2" t="str">
        <x:v>KEMET</x:v>
      </x:c>
      <x:c r="F223" s="8" t="str">
        <x:v>0603</x:v>
      </x:c>
      <x:c r="G223" s="2" t="str">
        <x:v>SURFACE_MOUNT</x:v>
      </x:c>
      <x:c r="H223" s="2" t="str">
        <x:v>SELECTED_CATALOG_ITEM</x:v>
      </x:c>
      <x:c r="I223" s="2" t="str">
        <x:v>Не выпущено</x:v>
      </x:c>
      <x:c r="J223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23" s="31" t="str">
        <x:v>https://search.kemet.com/download/specsheet/C0603C105K3RACTU</x:v>
      </x:c>
      <x:c r="L223" s="31" t="str"/>
    </x:row>
    <x:row r="224" ht="38" customHeight="1">
      <x:c r="A224" s="12" t="str">
        <x:v>C1181</x:v>
      </x:c>
      <x:c r="B224" s="12" t="str">
        <x:v>100n 16V X7R</x:v>
      </x:c>
      <x:c r="C224" s="12" t="str">
        <x:v>Да</x:v>
      </x:c>
      <x:c r="D224" s="11" t="str">
        <x:v>C0603C104K5RACTU</x:v>
      </x:c>
      <x:c r="E224" s="12" t="str">
        <x:v>KEMET</x:v>
      </x:c>
      <x:c r="F224" s="11" t="str">
        <x:v>0603</x:v>
      </x:c>
      <x:c r="G224" s="12" t="str">
        <x:v>SURFACE_MOUNT</x:v>
      </x:c>
      <x:c r="H224" s="12" t="str">
        <x:v>SELECTED_CATALOG_ITEM</x:v>
      </x:c>
      <x:c r="I224" s="12" t="str">
        <x:v>Не выпущено</x:v>
      </x:c>
      <x:c r="J224" s="33" t="str">
        <x:v>capacitance_pf: 100000; rated_voltage_v: 50; dielectric: X7R; tolerance_pct: 10; temperature_min_c: -55; temperature_max_c: 125</x:v>
      </x:c>
      <x:c r="K224" s="33" t="str">
        <x:v>https://search.kemet.com/download/specsheet/C0603C104K5RACTU</x:v>
      </x:c>
      <x:c r="L224" s="33" t="str"/>
    </x:row>
    <x:row r="225" ht="38" customHeight="1">
      <x:c r="A225" s="2" t="str">
        <x:v>C1182</x:v>
      </x:c>
      <x:c r="B225" s="2" t="str">
        <x:v>100n 16V X7R</x:v>
      </x:c>
      <x:c r="C225" s="2" t="str">
        <x:v>Да</x:v>
      </x:c>
      <x:c r="D225" s="8" t="str">
        <x:v>C0603C104K5RACTU</x:v>
      </x:c>
      <x:c r="E225" s="2" t="str">
        <x:v>KEMET</x:v>
      </x:c>
      <x:c r="F225" s="8" t="str">
        <x:v>0603</x:v>
      </x:c>
      <x:c r="G225" s="2" t="str">
        <x:v>SURFACE_MOUNT</x:v>
      </x:c>
      <x:c r="H225" s="2" t="str">
        <x:v>SELECTED_CATALOG_ITEM</x:v>
      </x:c>
      <x:c r="I225" s="2" t="str">
        <x:v>Не выпущено</x:v>
      </x:c>
      <x:c r="J225" s="31" t="str">
        <x:v>capacitance_pf: 100000; rated_voltage_v: 50; dielectric: X7R; tolerance_pct: 10; temperature_min_c: -55; temperature_max_c: 125</x:v>
      </x:c>
      <x:c r="K225" s="31" t="str">
        <x:v>https://search.kemet.com/download/specsheet/C0603C104K5RACTU</x:v>
      </x:c>
      <x:c r="L225" s="31" t="str"/>
    </x:row>
    <x:row r="226" ht="38" customHeight="1">
      <x:c r="A226" s="12" t="str">
        <x:v>C1183</x:v>
      </x:c>
      <x:c r="B226" s="12" t="str">
        <x:v>100n 16V X7R</x:v>
      </x:c>
      <x:c r="C226" s="12" t="str">
        <x:v>Да</x:v>
      </x:c>
      <x:c r="D226" s="11" t="str">
        <x:v>C0603C104K5RACTU</x:v>
      </x:c>
      <x:c r="E226" s="12" t="str">
        <x:v>KEMET</x:v>
      </x:c>
      <x:c r="F226" s="11" t="str">
        <x:v>0603</x:v>
      </x:c>
      <x:c r="G226" s="12" t="str">
        <x:v>SURFACE_MOUNT</x:v>
      </x:c>
      <x:c r="H226" s="12" t="str">
        <x:v>SELECTED_CATALOG_ITEM</x:v>
      </x:c>
      <x:c r="I226" s="12" t="str">
        <x:v>Не выпущено</x:v>
      </x:c>
      <x:c r="J226" s="33" t="str">
        <x:v>capacitance_pf: 100000; rated_voltage_v: 50; dielectric: X7R; tolerance_pct: 10; temperature_min_c: -55; temperature_max_c: 125</x:v>
      </x:c>
      <x:c r="K226" s="33" t="str">
        <x:v>https://search.kemet.com/download/specsheet/C0603C104K5RACTU</x:v>
      </x:c>
      <x:c r="L226" s="33" t="str"/>
    </x:row>
    <x:row r="227" ht="38" customHeight="1">
      <x:c r="A227" s="2" t="str">
        <x:v>C1184</x:v>
      </x:c>
      <x:c r="B227" s="2" t="str">
        <x:v>1u 16V X7R</x:v>
      </x:c>
      <x:c r="C227" s="2" t="str">
        <x:v>Да</x:v>
      </x:c>
      <x:c r="D227" s="8" t="str">
        <x:v>C0603C105K3RACTU</x:v>
      </x:c>
      <x:c r="E227" s="2" t="str">
        <x:v>KEMET</x:v>
      </x:c>
      <x:c r="F227" s="8" t="str">
        <x:v>0603</x:v>
      </x:c>
      <x:c r="G227" s="2" t="str">
        <x:v>SURFACE_MOUNT</x:v>
      </x:c>
      <x:c r="H227" s="2" t="str">
        <x:v>SELECTED_CATALOG_ITEM</x:v>
      </x:c>
      <x:c r="I227" s="2" t="str">
        <x:v>Не выпущено</x:v>
      </x:c>
      <x:c r="J227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27" s="31" t="str">
        <x:v>https://search.kemet.com/download/specsheet/C0603C105K3RACTU</x:v>
      </x:c>
      <x:c r="L227" s="31" t="str"/>
    </x:row>
    <x:row r="228" ht="38" customHeight="1">
      <x:c r="A228" s="12" t="str">
        <x:v>C1201</x:v>
      </x:c>
      <x:c r="B228" s="12" t="str">
        <x:v>100n 16V X7R</x:v>
      </x:c>
      <x:c r="C228" s="12" t="str">
        <x:v>Да</x:v>
      </x:c>
      <x:c r="D228" s="11" t="str">
        <x:v>C0603C104K5RACTU</x:v>
      </x:c>
      <x:c r="E228" s="12" t="str">
        <x:v>KEMET</x:v>
      </x:c>
      <x:c r="F228" s="11" t="str">
        <x:v>0603</x:v>
      </x:c>
      <x:c r="G228" s="12" t="str">
        <x:v>SURFACE_MOUNT</x:v>
      </x:c>
      <x:c r="H228" s="12" t="str">
        <x:v>SELECTED_CATALOG_ITEM</x:v>
      </x:c>
      <x:c r="I228" s="12" t="str">
        <x:v>Не выпущено</x:v>
      </x:c>
      <x:c r="J228" s="33" t="str">
        <x:v>capacitance_pf: 100000; rated_voltage_v: 50; dielectric: X7R; tolerance_pct: 10; temperature_min_c: -55; temperature_max_c: 125</x:v>
      </x:c>
      <x:c r="K228" s="33" t="str">
        <x:v>https://search.kemet.com/download/specsheet/C0603C104K5RACTU</x:v>
      </x:c>
      <x:c r="L228" s="33" t="str"/>
    </x:row>
    <x:row r="229" ht="38" customHeight="1">
      <x:c r="A229" s="2" t="str">
        <x:v>C1202</x:v>
      </x:c>
      <x:c r="B229" s="2" t="str">
        <x:v>100n 16V X7R</x:v>
      </x:c>
      <x:c r="C229" s="2" t="str">
        <x:v>Да</x:v>
      </x:c>
      <x:c r="D229" s="8" t="str">
        <x:v>C0603C104K5RACTU</x:v>
      </x:c>
      <x:c r="E229" s="2" t="str">
        <x:v>KEMET</x:v>
      </x:c>
      <x:c r="F229" s="8" t="str">
        <x:v>0603</x:v>
      </x:c>
      <x:c r="G229" s="2" t="str">
        <x:v>SURFACE_MOUNT</x:v>
      </x:c>
      <x:c r="H229" s="2" t="str">
        <x:v>SELECTED_CATALOG_ITEM</x:v>
      </x:c>
      <x:c r="I229" s="2" t="str">
        <x:v>Не выпущено</x:v>
      </x:c>
      <x:c r="J229" s="31" t="str">
        <x:v>capacitance_pf: 100000; rated_voltage_v: 50; dielectric: X7R; tolerance_pct: 10; temperature_min_c: -55; temperature_max_c: 125</x:v>
      </x:c>
      <x:c r="K229" s="31" t="str">
        <x:v>https://search.kemet.com/download/specsheet/C0603C104K5RACTU</x:v>
      </x:c>
      <x:c r="L229" s="31" t="str"/>
    </x:row>
    <x:row r="230" ht="38" customHeight="1">
      <x:c r="A230" s="12" t="str">
        <x:v>C1203</x:v>
      </x:c>
      <x:c r="B230" s="12" t="str">
        <x:v>100n 16V X7R</x:v>
      </x:c>
      <x:c r="C230" s="12" t="str">
        <x:v>Да</x:v>
      </x:c>
      <x:c r="D230" s="11" t="str">
        <x:v>C0603C104K5RACTU</x:v>
      </x:c>
      <x:c r="E230" s="12" t="str">
        <x:v>KEMET</x:v>
      </x:c>
      <x:c r="F230" s="11" t="str">
        <x:v>0603</x:v>
      </x:c>
      <x:c r="G230" s="12" t="str">
        <x:v>SURFACE_MOUNT</x:v>
      </x:c>
      <x:c r="H230" s="12" t="str">
        <x:v>SELECTED_CATALOG_ITEM</x:v>
      </x:c>
      <x:c r="I230" s="12" t="str">
        <x:v>Не выпущено</x:v>
      </x:c>
      <x:c r="J230" s="33" t="str">
        <x:v>capacitance_pf: 100000; rated_voltage_v: 50; dielectric: X7R; tolerance_pct: 10; temperature_min_c: -55; temperature_max_c: 125</x:v>
      </x:c>
      <x:c r="K230" s="33" t="str">
        <x:v>https://search.kemet.com/download/specsheet/C0603C104K5RACTU</x:v>
      </x:c>
      <x:c r="L230" s="33" t="str"/>
    </x:row>
    <x:row r="231" ht="38" customHeight="1">
      <x:c r="A231" s="2" t="str">
        <x:v>C1204</x:v>
      </x:c>
      <x:c r="B231" s="2" t="str">
        <x:v>1u 16V X7R</x:v>
      </x:c>
      <x:c r="C231" s="2" t="str">
        <x:v>Да</x:v>
      </x:c>
      <x:c r="D231" s="8" t="str">
        <x:v>C0603C105K3RACTU</x:v>
      </x:c>
      <x:c r="E231" s="2" t="str">
        <x:v>KEMET</x:v>
      </x:c>
      <x:c r="F231" s="8" t="str">
        <x:v>0603</x:v>
      </x:c>
      <x:c r="G231" s="2" t="str">
        <x:v>SURFACE_MOUNT</x:v>
      </x:c>
      <x:c r="H231" s="2" t="str">
        <x:v>SELECTED_CATALOG_ITEM</x:v>
      </x:c>
      <x:c r="I231" s="2" t="str">
        <x:v>Не выпущено</x:v>
      </x:c>
      <x:c r="J231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31" s="31" t="str">
        <x:v>https://search.kemet.com/download/specsheet/C0603C105K3RACTU</x:v>
      </x:c>
      <x:c r="L231" s="31" t="str"/>
    </x:row>
    <x:row r="232" ht="38" customHeight="1">
      <x:c r="A232" s="12" t="str">
        <x:v>C1241</x:v>
      </x:c>
      <x:c r="B232" s="12" t="str">
        <x:v>100n 16V X7R</x:v>
      </x:c>
      <x:c r="C232" s="12" t="str">
        <x:v>Да</x:v>
      </x:c>
      <x:c r="D232" s="11" t="str">
        <x:v>C0603C104K5RACTU</x:v>
      </x:c>
      <x:c r="E232" s="12" t="str">
        <x:v>KEMET</x:v>
      </x:c>
      <x:c r="F232" s="11" t="str">
        <x:v>0603</x:v>
      </x:c>
      <x:c r="G232" s="12" t="str">
        <x:v>SURFACE_MOUNT</x:v>
      </x:c>
      <x:c r="H232" s="12" t="str">
        <x:v>SELECTED_CATALOG_ITEM</x:v>
      </x:c>
      <x:c r="I232" s="12" t="str">
        <x:v>Не выпущено</x:v>
      </x:c>
      <x:c r="J232" s="33" t="str">
        <x:v>capacitance_pf: 100000; rated_voltage_v: 50; dielectric: X7R; tolerance_pct: 10; temperature_min_c: -55; temperature_max_c: 125</x:v>
      </x:c>
      <x:c r="K232" s="33" t="str">
        <x:v>https://search.kemet.com/download/specsheet/C0603C104K5RACTU</x:v>
      </x:c>
      <x:c r="L232" s="33" t="str"/>
    </x:row>
    <x:row r="233" ht="38" customHeight="1">
      <x:c r="A233" s="2" t="str">
        <x:v>C1501</x:v>
      </x:c>
      <x:c r="B233" s="2" t="str">
        <x:v>100n 16V X7R</x:v>
      </x:c>
      <x:c r="C233" s="2" t="str">
        <x:v>Да</x:v>
      </x:c>
      <x:c r="D233" s="8" t="str">
        <x:v>C0603C104K5RACTU</x:v>
      </x:c>
      <x:c r="E233" s="2" t="str">
        <x:v>KEMET</x:v>
      </x:c>
      <x:c r="F233" s="8" t="str">
        <x:v>0603</x:v>
      </x:c>
      <x:c r="G233" s="2" t="str">
        <x:v>SURFACE_MOUNT</x:v>
      </x:c>
      <x:c r="H233" s="2" t="str">
        <x:v>SELECTED_CATALOG_ITEM</x:v>
      </x:c>
      <x:c r="I233" s="2" t="str">
        <x:v>Не выпущено</x:v>
      </x:c>
      <x:c r="J233" s="31" t="str">
        <x:v>capacitance_pf: 100000; rated_voltage_v: 50; dielectric: X7R; tolerance_pct: 10; temperature_min_c: -55; temperature_max_c: 125</x:v>
      </x:c>
      <x:c r="K233" s="31" t="str">
        <x:v>https://search.kemet.com/download/specsheet/C0603C104K5RACTU</x:v>
      </x:c>
      <x:c r="L233" s="31" t="str"/>
    </x:row>
    <x:row r="234" ht="38" customHeight="1">
      <x:c r="A234" s="12" t="str">
        <x:v>C1502</x:v>
      </x:c>
      <x:c r="B234" s="12" t="str">
        <x:v>100n 16V X7R</x:v>
      </x:c>
      <x:c r="C234" s="12" t="str">
        <x:v>Да</x:v>
      </x:c>
      <x:c r="D234" s="11" t="str">
        <x:v>C0603C104K5RACTU</x:v>
      </x:c>
      <x:c r="E234" s="12" t="str">
        <x:v>KEMET</x:v>
      </x:c>
      <x:c r="F234" s="11" t="str">
        <x:v>0603</x:v>
      </x:c>
      <x:c r="G234" s="12" t="str">
        <x:v>SURFACE_MOUNT</x:v>
      </x:c>
      <x:c r="H234" s="12" t="str">
        <x:v>SELECTED_CATALOG_ITEM</x:v>
      </x:c>
      <x:c r="I234" s="12" t="str">
        <x:v>Не выпущено</x:v>
      </x:c>
      <x:c r="J234" s="33" t="str">
        <x:v>capacitance_pf: 100000; rated_voltage_v: 50; dielectric: X7R; tolerance_pct: 10; temperature_min_c: -55; temperature_max_c: 125</x:v>
      </x:c>
      <x:c r="K234" s="33" t="str">
        <x:v>https://search.kemet.com/download/specsheet/C0603C104K5RACTU</x:v>
      </x:c>
      <x:c r="L234" s="33" t="str"/>
    </x:row>
    <x:row r="235" ht="38" customHeight="1">
      <x:c r="A235" s="2" t="str">
        <x:v>C1503</x:v>
      </x:c>
      <x:c r="B235" s="2" t="str">
        <x:v>100n 50V X7R</x:v>
      </x:c>
      <x:c r="C235" s="2" t="str">
        <x:v>Да</x:v>
      </x:c>
      <x:c r="D235" s="8" t="str">
        <x:v>C0603C104K5RACTU</x:v>
      </x:c>
      <x:c r="E235" s="2" t="str">
        <x:v>KEMET</x:v>
      </x:c>
      <x:c r="F235" s="8" t="str">
        <x:v>0603</x:v>
      </x:c>
      <x:c r="G235" s="2" t="str">
        <x:v>SURFACE_MOUNT</x:v>
      </x:c>
      <x:c r="H235" s="2" t="str">
        <x:v>SELECTED_CATALOG_ITEM</x:v>
      </x:c>
      <x:c r="I235" s="2" t="str">
        <x:v>Не выпущено</x:v>
      </x:c>
      <x:c r="J235" s="31" t="str">
        <x:v>capacitance_pf: 100000; rated_voltage_v: 50; dielectric: X7R; tolerance_pct: 10; temperature_min_c: -55; temperature_max_c: 125</x:v>
      </x:c>
      <x:c r="K235" s="31" t="str">
        <x:v>https://search.kemet.com/download/specsheet/C0603C104K5RACTU</x:v>
      </x:c>
      <x:c r="L235" s="31" t="str"/>
    </x:row>
    <x:row r="236" ht="38" customHeight="1">
      <x:c r="A236" s="12" t="str">
        <x:v>C1504</x:v>
      </x:c>
      <x:c r="B236" s="12" t="str">
        <x:v>1u 50V X7R</x:v>
      </x:c>
      <x:c r="C236" s="12" t="str">
        <x:v>Да</x:v>
      </x:c>
      <x:c r="D236" s="11" t="str">
        <x:v>C0805C105K5RACTU</x:v>
      </x:c>
      <x:c r="E236" s="12" t="str">
        <x:v>KEMET</x:v>
      </x:c>
      <x:c r="F236" s="11" t="str">
        <x:v>0805</x:v>
      </x:c>
      <x:c r="G236" s="12" t="str">
        <x:v>SURFACE_MOUNT</x:v>
      </x:c>
      <x:c r="H236" s="12" t="str">
        <x:v>SELECTED_CATALOG_ITEM</x:v>
      </x:c>
      <x:c r="I236" s="12" t="str">
        <x:v>Не выпущено</x:v>
      </x:c>
      <x:c r="J236" s="33" t="str">
        <x:v>capacitance_pf: 1000000; rated_voltage_v: 50; dielectric: X7R; tolerance_pct: 10; temperature_min_c: -55; temperature_max_c: 125; effective_capacitance_min_pf: None; dc_bias_qualification: PENDING_AT_ACTUAL_NODE_VOLTAGE</x:v>
      </x:c>
      <x:c r="K236" s="33" t="str">
        <x:v>https://search.kemet.com/component-documentation/download/specsheet/C0805C105K5RACTU</x:v>
      </x:c>
      <x:c r="L236" s="33" t="str"/>
    </x:row>
    <x:row r="237" ht="38" customHeight="1">
      <x:c r="A237" s="2" t="str">
        <x:v>C1505</x:v>
      </x:c>
      <x:c r="B237" s="2" t="str">
        <x:v>1n 100V C0G</x:v>
      </x:c>
      <x:c r="C237" s="2" t="str">
        <x:v>Да</x:v>
      </x:c>
      <x:c r="D237" s="8" t="str">
        <x:v>C0603C102J1GACTU</x:v>
      </x:c>
      <x:c r="E237" s="2" t="str">
        <x:v>KEMET</x:v>
      </x:c>
      <x:c r="F237" s="8" t="str">
        <x:v>0603</x:v>
      </x:c>
      <x:c r="G237" s="2" t="str">
        <x:v>SURFACE_MOUNT</x:v>
      </x:c>
      <x:c r="H237" s="2" t="str">
        <x:v>SELECTED_CATALOG_ITEM</x:v>
      </x:c>
      <x:c r="I237" s="2" t="str">
        <x:v>Не выпущено</x:v>
      </x:c>
      <x:c r="J237" s="31" t="str">
        <x:v>capacitance_pf: 1000; rated_voltage_v: 100; dielectric: C0G; tolerance_pct: 5; temperature_min_c: -55; temperature_max_c: 125</x:v>
      </x:c>
      <x:c r="K237" s="31" t="str">
        <x:v>https://search.kemet.com/download/specsheet/C0603C102J1GACTU</x:v>
      </x:c>
      <x:c r="L237" s="31" t="str"/>
    </x:row>
    <x:row r="238" ht="38" customHeight="1">
      <x:c r="A238" s="12" t="str">
        <x:v>C1510</x:v>
      </x:c>
      <x:c r="B238" s="12" t="str">
        <x:v>100n 16V X7R</x:v>
      </x:c>
      <x:c r="C238" s="12" t="str">
        <x:v>Да</x:v>
      </x:c>
      <x:c r="D238" s="11" t="str">
        <x:v>C0603C104K5RACTU</x:v>
      </x:c>
      <x:c r="E238" s="12" t="str">
        <x:v>KEMET</x:v>
      </x:c>
      <x:c r="F238" s="11" t="str">
        <x:v>0603</x:v>
      </x:c>
      <x:c r="G238" s="12" t="str">
        <x:v>SURFACE_MOUNT</x:v>
      </x:c>
      <x:c r="H238" s="12" t="str">
        <x:v>SELECTED_CATALOG_ITEM</x:v>
      </x:c>
      <x:c r="I238" s="12" t="str">
        <x:v>Не выпущено</x:v>
      </x:c>
      <x:c r="J238" s="33" t="str">
        <x:v>capacitance_pf: 100000; rated_voltage_v: 50; dielectric: X7R; tolerance_pct: 10; temperature_min_c: -55; temperature_max_c: 125</x:v>
      </x:c>
      <x:c r="K238" s="33" t="str">
        <x:v>https://search.kemet.com/download/specsheet/C0603C104K5RACTU</x:v>
      </x:c>
      <x:c r="L238" s="33" t="str"/>
    </x:row>
    <x:row r="239" ht="38" customHeight="1">
      <x:c r="A239" s="2" t="str">
        <x:v>C1511</x:v>
      </x:c>
      <x:c r="B239" s="2" t="str">
        <x:v>1n 2kV C0G</x:v>
      </x:c>
      <x:c r="C239" s="2" t="str">
        <x:v>Да</x:v>
      </x:c>
      <x:c r="D239" s="8" t="str">
        <x:v>C1812X102JGGACAUTO</x:v>
      </x:c>
      <x:c r="E239" s="2" t="str">
        <x:v>KEMET</x:v>
      </x:c>
      <x:c r="F239" s="8" t="str">
        <x:v>1812</x:v>
      </x:c>
      <x:c r="G239" s="2" t="str">
        <x:v>SURFACE_MOUNT</x:v>
      </x:c>
      <x:c r="H239" s="2" t="str">
        <x:v>SELECTED_CONDITIONAL</x:v>
      </x:c>
      <x:c r="I239" s="2" t="str">
        <x:v>Не выпущено</x:v>
      </x:c>
      <x:c r="J239" s="31" t="str">
        <x:v>capacitance_pf: 1000; rated_voltage_v: 2000; dielectric: C0G; tolerance_pct: 5; temperature_min_c: -55; temperature_max_c: 125; aec_q200: True; termination: flexible</x:v>
      </x:c>
      <x:c r="K239" s="31" t="str">
        <x:v>https://www.digikey.com/en/products/detail/kemet/C1812X102JGGACAUTO/16524894; https://yageogroup.com/content/datasheet/asset/file/KEM_C1081_C0G_HV_FT_AUTO_SMD</x:v>
      </x:c>
      <x:c r="L239" s="31" t="str">
        <x:v>Source1206 footprint must become1812. Verify chassis coupling safety, clearances and actual voltage stress;2kV rating alone does not establish insulation safety.</x:v>
      </x:c>
    </x:row>
    <x:row r="240" ht="38" customHeight="1">
      <x:c r="A240" s="12" t="str">
        <x:v>C1520</x:v>
      </x:c>
      <x:c r="B240" s="12" t="str">
        <x:v>100n 16V X7R</x:v>
      </x:c>
      <x:c r="C240" s="12" t="str">
        <x:v>Да</x:v>
      </x:c>
      <x:c r="D240" s="11" t="str">
        <x:v>C0603C104K5RACTU</x:v>
      </x:c>
      <x:c r="E240" s="12" t="str">
        <x:v>KEMET</x:v>
      </x:c>
      <x:c r="F240" s="11" t="str">
        <x:v>0603</x:v>
      </x:c>
      <x:c r="G240" s="12" t="str">
        <x:v>SURFACE_MOUNT</x:v>
      </x:c>
      <x:c r="H240" s="12" t="str">
        <x:v>SELECTED_CATALOG_ITEM</x:v>
      </x:c>
      <x:c r="I240" s="12" t="str">
        <x:v>Не выпущено</x:v>
      </x:c>
      <x:c r="J240" s="33" t="str">
        <x:v>capacitance_pf: 100000; rated_voltage_v: 50; dielectric: X7R; tolerance_pct: 10; temperature_min_c: -55; temperature_max_c: 125</x:v>
      </x:c>
      <x:c r="K240" s="33" t="str">
        <x:v>https://search.kemet.com/download/specsheet/C0603C104K5RACTU</x:v>
      </x:c>
      <x:c r="L240" s="33" t="str"/>
    </x:row>
    <x:row r="241" ht="38" customHeight="1">
      <x:c r="A241" s="2" t="str">
        <x:v>C1521</x:v>
      </x:c>
      <x:c r="B241" s="2" t="str">
        <x:v>10u 16V X7R</x:v>
      </x:c>
      <x:c r="C241" s="2" t="str">
        <x:v>Да</x:v>
      </x:c>
      <x:c r="D241" s="8" t="str">
        <x:v>GMC21X7R106K25NT</x:v>
      </x:c>
      <x:c r="E241" s="2" t="str">
        <x:v>Cal-Chip Electronics</x:v>
      </x:c>
      <x:c r="F241" s="8" t="str">
        <x:v>0805</x:v>
      </x:c>
      <x:c r="G241" s="2" t="str">
        <x:v>SURFACE_MOUNT</x:v>
      </x:c>
      <x:c r="H241" s="2" t="str">
        <x:v>SELECTED_CATALOG_ITEM</x:v>
      </x:c>
      <x:c r="I241" s="2" t="str">
        <x:v>Не выпущено</x:v>
      </x:c>
      <x:c r="J241" s="31" t="str">
        <x:v>capacitance_pf: 10000000; rated_voltage_v: 25; dielectric: X7R; tolerance_pct: 10; temperature_min_c: -55; temperature_max_c: 125; effective_capacitance_min_pf: None; dc_bias_qualification: PENDING_AT_ACTUAL_NODE_VOLTAGE</x:v>
      </x:c>
      <x:c r="K241" s="31" t="str">
        <x:v>https://www.digikey.com/en/products/detail/cal-chip-electronics-inc/GMC21X7R106K25NT/22640097</x:v>
      </x:c>
      <x:c r="L241" s="31" t="str"/>
    </x:row>
    <x:row r="242" ht="38" customHeight="1">
      <x:c r="A242" s="12" t="str">
        <x:v>C1522</x:v>
      </x:c>
      <x:c r="B242" s="12" t="str">
        <x:v>1n 16V X7R</x:v>
      </x:c>
      <x:c r="C242" s="12" t="str">
        <x:v>Да</x:v>
      </x:c>
      <x:c r="D242" s="11" t="str">
        <x:v>C0603C102K5RACTU</x:v>
      </x:c>
      <x:c r="E242" s="12" t="str">
        <x:v>KEMET</x:v>
      </x:c>
      <x:c r="F242" s="11" t="str">
        <x:v>0603</x:v>
      </x:c>
      <x:c r="G242" s="12" t="str">
        <x:v>SURFACE_MOUNT</x:v>
      </x:c>
      <x:c r="H242" s="12" t="str">
        <x:v>SELECTED_CATALOG_ITEM</x:v>
      </x:c>
      <x:c r="I242" s="12" t="str">
        <x:v>Не выпущено</x:v>
      </x:c>
      <x:c r="J242" s="33" t="str">
        <x:v>capacitance_pf: 1000; rated_voltage_v: 50; dielectric: X7R; tolerance_pct: 10; temperature_min_c: -55; temperature_max_c: 125</x:v>
      </x:c>
      <x:c r="K242" s="33" t="str">
        <x:v>https://www.digikey.com/en/products/detail/kemet/C0603C102K5RACTU/411357</x:v>
      </x:c>
      <x:c r="L242" s="33" t="str"/>
    </x:row>
    <x:row r="243" ht="38" customHeight="1">
      <x:c r="A243" s="2" t="str">
        <x:v>C1530</x:v>
      </x:c>
      <x:c r="B243" s="2" t="str">
        <x:v>1u 50V X7R</x:v>
      </x:c>
      <x:c r="C243" s="2" t="str">
        <x:v>Да</x:v>
      </x:c>
      <x:c r="D243" s="8" t="str">
        <x:v>C0805C105K5RACTU</x:v>
      </x:c>
      <x:c r="E243" s="2" t="str">
        <x:v>KEMET</x:v>
      </x:c>
      <x:c r="F243" s="8" t="str">
        <x:v>0805</x:v>
      </x:c>
      <x:c r="G243" s="2" t="str">
        <x:v>SURFACE_MOUNT</x:v>
      </x:c>
      <x:c r="H243" s="2" t="str">
        <x:v>SELECTED_CATALOG_ITEM</x:v>
      </x:c>
      <x:c r="I243" s="2" t="str">
        <x:v>Не выпущено</x:v>
      </x:c>
      <x:c r="J243" s="31" t="str">
        <x:v>capacitance_pf: 1000000; rated_voltage_v: 50; dielectric: X7R; tolerance_pct: 10; temperature_min_c: -55; temperature_max_c: 125; effective_capacitance_min_pf: None; dc_bias_qualification: PENDING_AT_ACTUAL_NODE_VOLTAGE</x:v>
      </x:c>
      <x:c r="K243" s="31" t="str">
        <x:v>https://search.kemet.com/component-documentation/download/specsheet/C0805C105K5RACTU</x:v>
      </x:c>
      <x:c r="L243" s="31" t="str"/>
    </x:row>
    <x:row r="244" ht="38" customHeight="1">
      <x:c r="A244" s="12" t="str">
        <x:v>C1531</x:v>
      </x:c>
      <x:c r="B244" s="12" t="str">
        <x:v>100n 50V X7R</x:v>
      </x:c>
      <x:c r="C244" s="12" t="str">
        <x:v>Да</x:v>
      </x:c>
      <x:c r="D244" s="11" t="str">
        <x:v>C0603C104K5RACTU</x:v>
      </x:c>
      <x:c r="E244" s="12" t="str">
        <x:v>KEMET</x:v>
      </x:c>
      <x:c r="F244" s="11" t="str">
        <x:v>0603</x:v>
      </x:c>
      <x:c r="G244" s="12" t="str">
        <x:v>SURFACE_MOUNT</x:v>
      </x:c>
      <x:c r="H244" s="12" t="str">
        <x:v>SELECTED_CATALOG_ITEM</x:v>
      </x:c>
      <x:c r="I244" s="12" t="str">
        <x:v>Не выпущено</x:v>
      </x:c>
      <x:c r="J244" s="33" t="str">
        <x:v>capacitance_pf: 100000; rated_voltage_v: 50; dielectric: X7R; tolerance_pct: 10; temperature_min_c: -55; temperature_max_c: 125</x:v>
      </x:c>
      <x:c r="K244" s="33" t="str">
        <x:v>https://search.kemet.com/download/specsheet/C0603C104K5RACTU</x:v>
      </x:c>
      <x:c r="L244" s="33" t="str"/>
    </x:row>
    <x:row r="245" ht="38" customHeight="1">
      <x:c r="A245" s="2" t="str">
        <x:v>C1532</x:v>
      </x:c>
      <x:c r="B245" s="2" t="str">
        <x:v>100n 16V X7R</x:v>
      </x:c>
      <x:c r="C245" s="2" t="str">
        <x:v>Да</x:v>
      </x:c>
      <x:c r="D245" s="8" t="str">
        <x:v>C0603C104K5RACTU</x:v>
      </x:c>
      <x:c r="E245" s="2" t="str">
        <x:v>KEMET</x:v>
      </x:c>
      <x:c r="F245" s="8" t="str">
        <x:v>0603</x:v>
      </x:c>
      <x:c r="G245" s="2" t="str">
        <x:v>SURFACE_MOUNT</x:v>
      </x:c>
      <x:c r="H245" s="2" t="str">
        <x:v>SELECTED_CATALOG_ITEM</x:v>
      </x:c>
      <x:c r="I245" s="2" t="str">
        <x:v>Не выпущено</x:v>
      </x:c>
      <x:c r="J245" s="31" t="str">
        <x:v>capacitance_pf: 100000; rated_voltage_v: 50; dielectric: X7R; tolerance_pct: 10; temperature_min_c: -55; temperature_max_c: 125</x:v>
      </x:c>
      <x:c r="K245" s="31" t="str">
        <x:v>https://search.kemet.com/download/specsheet/C0603C104K5RACTU</x:v>
      </x:c>
      <x:c r="L245" s="31" t="str"/>
    </x:row>
    <x:row r="246" ht="38" customHeight="1">
      <x:c r="A246" s="12" t="str">
        <x:v>C1533</x:v>
      </x:c>
      <x:c r="B246" s="12" t="str">
        <x:v>22u 50V X7R</x:v>
      </x:c>
      <x:c r="C246" s="12" t="str">
        <x:v>Да</x:v>
      </x:c>
      <x:c r="D246" s="11" t="str">
        <x:v>CGA9P3X7R1H226M250KB</x:v>
      </x:c>
      <x:c r="E246" s="12" t="str">
        <x:v>TDK</x:v>
      </x:c>
      <x:c r="F246" s="11" t="str">
        <x:v>2220</x:v>
      </x:c>
      <x:c r="G246" s="12" t="str">
        <x:v>SURFACE_MOUNT</x:v>
      </x:c>
      <x:c r="H246" s="12" t="str">
        <x:v>SELECTED_CONDITIONAL</x:v>
      </x:c>
      <x:c r="I246" s="12" t="str">
        <x:v>Не выпущено</x:v>
      </x:c>
      <x:c r="J246" s="33" t="str">
        <x:v>capacitance_pf: 22000000; rated_voltage_v: 50; dielectric: X7R; tolerance_pct: 20; temperature_min_c: -55; temperature_max_c: 125; aec_q200: True; height_max_mm: 2.5; effective_capacitance_min_pf: None; dc_bias_qualification: PENDING_AT_ACTUAL_NODE_VOLTAGE</x:v>
      </x:c>
      <x:c r="K246" s="33" t="str">
        <x:v>https://product.tdk.com/en/search/capacitor/ceramic/mlcc/info?part_no=CGA9P3X7R1H226M250KB; https://product.tdk.com/info/en/documents/chara_sheet/CGA9P3X7R1H226M250KB.pdf; https://www.digikey.com/en/products/detail/tdk/CGA9P3X7R1H226M250KB/10240637</x:v>
      </x:c>
      <x:c r="L246" s="33" t="str">
        <x:v>Source1210 footprint must become2220. Typical manufacturer DC-bias curve available; worst-case effective capacitance/ESR/ripple under actual WBO conditions remains unqualified.; Required effective capacitance not yet verified with supplier bias, temperature, tolerance and aging envelope.</x:v>
      </x:c>
    </x:row>
    <x:row r="247" ht="38" customHeight="1">
      <x:c r="A247" s="2" t="str">
        <x:v>C1534</x:v>
      </x:c>
      <x:c r="B247" s="2" t="str">
        <x:v>100n 50V X7R</x:v>
      </x:c>
      <x:c r="C247" s="2" t="str">
        <x:v>Да</x:v>
      </x:c>
      <x:c r="D247" s="8" t="str">
        <x:v>C0603C104K5RACTU</x:v>
      </x:c>
      <x:c r="E247" s="2" t="str">
        <x:v>KEMET</x:v>
      </x:c>
      <x:c r="F247" s="8" t="str">
        <x:v>0603</x:v>
      </x:c>
      <x:c r="G247" s="2" t="str">
        <x:v>SURFACE_MOUNT</x:v>
      </x:c>
      <x:c r="H247" s="2" t="str">
        <x:v>SELECTED_CATALOG_ITEM</x:v>
      </x:c>
      <x:c r="I247" s="2" t="str">
        <x:v>Не выпущено</x:v>
      </x:c>
      <x:c r="J247" s="31" t="str">
        <x:v>capacitance_pf: 100000; rated_voltage_v: 50; dielectric: X7R; tolerance_pct: 10; temperature_min_c: -55; temperature_max_c: 125</x:v>
      </x:c>
      <x:c r="K247" s="31" t="str">
        <x:v>https://search.kemet.com/download/specsheet/C0603C104K5RACTU</x:v>
      </x:c>
      <x:c r="L247" s="31" t="str"/>
    </x:row>
    <x:row r="248" ht="38" customHeight="1">
      <x:c r="A248" s="12" t="str">
        <x:v>C1535</x:v>
      </x:c>
      <x:c r="B248" s="12" t="str">
        <x:v>1u 50V X7R</x:v>
      </x:c>
      <x:c r="C248" s="12" t="str">
        <x:v>Да</x:v>
      </x:c>
      <x:c r="D248" s="11" t="str">
        <x:v>C0805C105K5RACTU</x:v>
      </x:c>
      <x:c r="E248" s="12" t="str">
        <x:v>KEMET</x:v>
      </x:c>
      <x:c r="F248" s="11" t="str">
        <x:v>0805</x:v>
      </x:c>
      <x:c r="G248" s="12" t="str">
        <x:v>SURFACE_MOUNT</x:v>
      </x:c>
      <x:c r="H248" s="12" t="str">
        <x:v>SELECTED_CATALOG_ITEM</x:v>
      </x:c>
      <x:c r="I248" s="12" t="str">
        <x:v>Не выпущено</x:v>
      </x:c>
      <x:c r="J248" s="33" t="str">
        <x:v>capacitance_pf: 1000000; rated_voltage_v: 50; dielectric: X7R; tolerance_pct: 10; temperature_min_c: -55; temperature_max_c: 125; effective_capacitance_min_pf: None; dc_bias_qualification: PENDING_AT_ACTUAL_NODE_VOLTAGE</x:v>
      </x:c>
      <x:c r="K248" s="33" t="str">
        <x:v>https://search.kemet.com/component-documentation/download/specsheet/C0805C105K5RACTU</x:v>
      </x:c>
      <x:c r="L248" s="33" t="str"/>
    </x:row>
    <x:row r="249" ht="38" customHeight="1">
      <x:c r="A249" s="2" t="str">
        <x:v>C1536</x:v>
      </x:c>
      <x:c r="B249" s="2" t="str">
        <x:v>100n 50V X7R</x:v>
      </x:c>
      <x:c r="C249" s="2" t="str">
        <x:v>Да</x:v>
      </x:c>
      <x:c r="D249" s="8" t="str">
        <x:v>C0603C104K5RACTU</x:v>
      </x:c>
      <x:c r="E249" s="2" t="str">
        <x:v>KEMET</x:v>
      </x:c>
      <x:c r="F249" s="8" t="str">
        <x:v>0603</x:v>
      </x:c>
      <x:c r="G249" s="2" t="str">
        <x:v>SURFACE_MOUNT</x:v>
      </x:c>
      <x:c r="H249" s="2" t="str">
        <x:v>SELECTED_CATALOG_ITEM</x:v>
      </x:c>
      <x:c r="I249" s="2" t="str">
        <x:v>Не выпущено</x:v>
      </x:c>
      <x:c r="J249" s="31" t="str">
        <x:v>capacitance_pf: 100000; rated_voltage_v: 50; dielectric: X7R; tolerance_pct: 10; temperature_min_c: -55; temperature_max_c: 125</x:v>
      </x:c>
      <x:c r="K249" s="31" t="str">
        <x:v>https://search.kemet.com/download/specsheet/C0603C104K5RACTU</x:v>
      </x:c>
      <x:c r="L249" s="31" t="str"/>
    </x:row>
    <x:row r="250" ht="38" customHeight="1">
      <x:c r="A250" s="12" t="str">
        <x:v>C1537</x:v>
      </x:c>
      <x:c r="B250" s="12" t="str">
        <x:v>100n 16V X7R</x:v>
      </x:c>
      <x:c r="C250" s="12" t="str">
        <x:v>Да</x:v>
      </x:c>
      <x:c r="D250" s="11" t="str">
        <x:v>C0603C104K5RACTU</x:v>
      </x:c>
      <x:c r="E250" s="12" t="str">
        <x:v>KEMET</x:v>
      </x:c>
      <x:c r="F250" s="11" t="str">
        <x:v>0603</x:v>
      </x:c>
      <x:c r="G250" s="12" t="str">
        <x:v>SURFACE_MOUNT</x:v>
      </x:c>
      <x:c r="H250" s="12" t="str">
        <x:v>SELECTED_CATALOG_ITEM</x:v>
      </x:c>
      <x:c r="I250" s="12" t="str">
        <x:v>Не выпущено</x:v>
      </x:c>
      <x:c r="J250" s="33" t="str">
        <x:v>capacitance_pf: 100000; rated_voltage_v: 50; dielectric: X7R; tolerance_pct: 10; temperature_min_c: -55; temperature_max_c: 125</x:v>
      </x:c>
      <x:c r="K250" s="33" t="str">
        <x:v>https://search.kemet.com/download/specsheet/C0603C104K5RACTU</x:v>
      </x:c>
      <x:c r="L250" s="33" t="str"/>
    </x:row>
    <x:row r="251" ht="38" customHeight="1">
      <x:c r="A251" s="2" t="str">
        <x:v>C1538</x:v>
      </x:c>
      <x:c r="B251" s="2" t="str">
        <x:v>22u 50V X7R</x:v>
      </x:c>
      <x:c r="C251" s="2" t="str">
        <x:v>Да</x:v>
      </x:c>
      <x:c r="D251" s="8" t="str">
        <x:v>CGA9P3X7R1H226M250KB</x:v>
      </x:c>
      <x:c r="E251" s="2" t="str">
        <x:v>TDK</x:v>
      </x:c>
      <x:c r="F251" s="8" t="str">
        <x:v>2220</x:v>
      </x:c>
      <x:c r="G251" s="2" t="str">
        <x:v>SURFACE_MOUNT</x:v>
      </x:c>
      <x:c r="H251" s="2" t="str">
        <x:v>SELECTED_CONDITIONAL</x:v>
      </x:c>
      <x:c r="I251" s="2" t="str">
        <x:v>Не выпущено</x:v>
      </x:c>
      <x:c r="J251" s="31" t="str">
        <x:v>capacitance_pf: 22000000; rated_voltage_v: 50; dielectric: X7R; tolerance_pct: 20; temperature_min_c: -55; temperature_max_c: 125; aec_q200: True; height_max_mm: 2.5; effective_capacitance_min_pf: None; dc_bias_qualification: PENDING_AT_ACTUAL_NODE_VOLTAGE</x:v>
      </x:c>
      <x:c r="K251" s="31" t="str">
        <x:v>https://product.tdk.com/en/search/capacitor/ceramic/mlcc/info?part_no=CGA9P3X7R1H226M250KB; https://product.tdk.com/info/en/documents/chara_sheet/CGA9P3X7R1H226M250KB.pdf; https://www.digikey.com/en/products/detail/tdk/CGA9P3X7R1H226M250KB/10240637</x:v>
      </x:c>
      <x:c r="L251" s="31" t="str">
        <x:v>Source1210 footprint must become2220. Typical manufacturer DC-bias curve available; worst-case effective capacitance/ESR/ripple under actual WBO conditions remains unqualified.; Required effective capacitance not yet verified with supplier bias, temperature, tolerance and aging envelope.</x:v>
      </x:c>
    </x:row>
    <x:row r="252" ht="38" customHeight="1">
      <x:c r="A252" s="12" t="str">
        <x:v>C1539</x:v>
      </x:c>
      <x:c r="B252" s="12" t="str">
        <x:v>100n 50V X7R</x:v>
      </x:c>
      <x:c r="C252" s="12" t="str">
        <x:v>Да</x:v>
      </x:c>
      <x:c r="D252" s="11" t="str">
        <x:v>C0603C104K5RACTU</x:v>
      </x:c>
      <x:c r="E252" s="12" t="str">
        <x:v>KEMET</x:v>
      </x:c>
      <x:c r="F252" s="11" t="str">
        <x:v>0603</x:v>
      </x:c>
      <x:c r="G252" s="12" t="str">
        <x:v>SURFACE_MOUNT</x:v>
      </x:c>
      <x:c r="H252" s="12" t="str">
        <x:v>SELECTED_CATALOG_ITEM</x:v>
      </x:c>
      <x:c r="I252" s="12" t="str">
        <x:v>Не выпущено</x:v>
      </x:c>
      <x:c r="J252" s="33" t="str">
        <x:v>capacitance_pf: 100000; rated_voltage_v: 50; dielectric: X7R; tolerance_pct: 10; temperature_min_c: -55; temperature_max_c: 125</x:v>
      </x:c>
      <x:c r="K252" s="33" t="str">
        <x:v>https://search.kemet.com/download/specsheet/C0603C104K5RACTU</x:v>
      </x:c>
      <x:c r="L252" s="33" t="str"/>
    </x:row>
    <x:row r="253" ht="38" customHeight="1">
      <x:c r="A253" s="2" t="str">
        <x:v>C1600</x:v>
      </x:c>
      <x:c r="B253" s="2" t="str">
        <x:v>47p 100V C0G</x:v>
      </x:c>
      <x:c r="C253" s="2" t="str">
        <x:v>Да</x:v>
      </x:c>
      <x:c r="D253" s="8" t="str">
        <x:v>C0603C470J1GACTU</x:v>
      </x:c>
      <x:c r="E253" s="2" t="str">
        <x:v>KEMET</x:v>
      </x:c>
      <x:c r="F253" s="8" t="str">
        <x:v>0603</x:v>
      </x:c>
      <x:c r="G253" s="2" t="str">
        <x:v>SURFACE_MOUNT</x:v>
      </x:c>
      <x:c r="H253" s="2" t="str">
        <x:v>SELECTED_CATALOG_ITEM</x:v>
      </x:c>
      <x:c r="I253" s="2" t="str">
        <x:v>Не выпущено</x:v>
      </x:c>
      <x:c r="J253" s="31" t="str">
        <x:v>capacitance_pf: 47; rated_voltage_v: 100; dielectric: C0G; tolerance_pct: 5; temperature_min_c: -55; temperature_max_c: 125</x:v>
      </x:c>
      <x:c r="K253" s="31" t="str">
        <x:v>https://www.digikey.com/en/products/detail/kemet/C0603C470J1GACTU/2200767</x:v>
      </x:c>
      <x:c r="L253" s="31" t="str"/>
    </x:row>
    <x:row r="254" ht="38" customHeight="1">
      <x:c r="A254" s="12" t="str">
        <x:v>C1601</x:v>
      </x:c>
      <x:c r="B254" s="12" t="str">
        <x:v>47p 100V C0G</x:v>
      </x:c>
      <x:c r="C254" s="12" t="str">
        <x:v>Да</x:v>
      </x:c>
      <x:c r="D254" s="11" t="str">
        <x:v>C0603C470J1GACTU</x:v>
      </x:c>
      <x:c r="E254" s="12" t="str">
        <x:v>KEMET</x:v>
      </x:c>
      <x:c r="F254" s="11" t="str">
        <x:v>0603</x:v>
      </x:c>
      <x:c r="G254" s="12" t="str">
        <x:v>SURFACE_MOUNT</x:v>
      </x:c>
      <x:c r="H254" s="12" t="str">
        <x:v>SELECTED_CATALOG_ITEM</x:v>
      </x:c>
      <x:c r="I254" s="12" t="str">
        <x:v>Не выпущено</x:v>
      </x:c>
      <x:c r="J254" s="33" t="str">
        <x:v>capacitance_pf: 47; rated_voltage_v: 100; dielectric: C0G; tolerance_pct: 5; temperature_min_c: -55; temperature_max_c: 125</x:v>
      </x:c>
      <x:c r="K254" s="33" t="str">
        <x:v>https://www.digikey.com/en/products/detail/kemet/C0603C470J1GACTU/2200767</x:v>
      </x:c>
      <x:c r="L254" s="33" t="str"/>
    </x:row>
    <x:row r="255" ht="38" customHeight="1">
      <x:c r="A255" s="2" t="str">
        <x:v>C1602</x:v>
      </x:c>
      <x:c r="B255" s="2" t="str">
        <x:v>47p 100V C0G</x:v>
      </x:c>
      <x:c r="C255" s="2" t="str">
        <x:v>Да</x:v>
      </x:c>
      <x:c r="D255" s="8" t="str">
        <x:v>C0603C470J1GACTU</x:v>
      </x:c>
      <x:c r="E255" s="2" t="str">
        <x:v>KEMET</x:v>
      </x:c>
      <x:c r="F255" s="8" t="str">
        <x:v>0603</x:v>
      </x:c>
      <x:c r="G255" s="2" t="str">
        <x:v>SURFACE_MOUNT</x:v>
      </x:c>
      <x:c r="H255" s="2" t="str">
        <x:v>SELECTED_CATALOG_ITEM</x:v>
      </x:c>
      <x:c r="I255" s="2" t="str">
        <x:v>Не выпущено</x:v>
      </x:c>
      <x:c r="J255" s="31" t="str">
        <x:v>capacitance_pf: 47; rated_voltage_v: 100; dielectric: C0G; tolerance_pct: 5; temperature_min_c: -55; temperature_max_c: 125</x:v>
      </x:c>
      <x:c r="K255" s="31" t="str">
        <x:v>https://www.digikey.com/en/products/detail/kemet/C0603C470J1GACTU/2200767</x:v>
      </x:c>
      <x:c r="L255" s="31" t="str"/>
    </x:row>
    <x:row r="256" ht="38" customHeight="1">
      <x:c r="A256" s="12" t="str">
        <x:v>C1603</x:v>
      </x:c>
      <x:c r="B256" s="12" t="str">
        <x:v>47p 100V C0G</x:v>
      </x:c>
      <x:c r="C256" s="12" t="str">
        <x:v>Да</x:v>
      </x:c>
      <x:c r="D256" s="11" t="str">
        <x:v>C0603C470J1GACTU</x:v>
      </x:c>
      <x:c r="E256" s="12" t="str">
        <x:v>KEMET</x:v>
      </x:c>
      <x:c r="F256" s="11" t="str">
        <x:v>0603</x:v>
      </x:c>
      <x:c r="G256" s="12" t="str">
        <x:v>SURFACE_MOUNT</x:v>
      </x:c>
      <x:c r="H256" s="12" t="str">
        <x:v>SELECTED_CATALOG_ITEM</x:v>
      </x:c>
      <x:c r="I256" s="12" t="str">
        <x:v>Не выпущено</x:v>
      </x:c>
      <x:c r="J256" s="33" t="str">
        <x:v>capacitance_pf: 47; rated_voltage_v: 100; dielectric: C0G; tolerance_pct: 5; temperature_min_c: -55; temperature_max_c: 125</x:v>
      </x:c>
      <x:c r="K256" s="33" t="str">
        <x:v>https://www.digikey.com/en/products/detail/kemet/C0603C470J1GACTU/2200767</x:v>
      </x:c>
      <x:c r="L256" s="33" t="str"/>
    </x:row>
    <x:row r="257" ht="38" customHeight="1">
      <x:c r="A257" s="2" t="str">
        <x:v>C1604</x:v>
      </x:c>
      <x:c r="B257" s="2" t="str">
        <x:v>47p 100V C0G</x:v>
      </x:c>
      <x:c r="C257" s="2" t="str">
        <x:v>Да</x:v>
      </x:c>
      <x:c r="D257" s="8" t="str">
        <x:v>C0603C470J1GACTU</x:v>
      </x:c>
      <x:c r="E257" s="2" t="str">
        <x:v>KEMET</x:v>
      </x:c>
      <x:c r="F257" s="8" t="str">
        <x:v>0603</x:v>
      </x:c>
      <x:c r="G257" s="2" t="str">
        <x:v>SURFACE_MOUNT</x:v>
      </x:c>
      <x:c r="H257" s="2" t="str">
        <x:v>SELECTED_CATALOG_ITEM</x:v>
      </x:c>
      <x:c r="I257" s="2" t="str">
        <x:v>Не выпущено</x:v>
      </x:c>
      <x:c r="J257" s="31" t="str">
        <x:v>capacitance_pf: 47; rated_voltage_v: 100; dielectric: C0G; tolerance_pct: 5; temperature_min_c: -55; temperature_max_c: 125</x:v>
      </x:c>
      <x:c r="K257" s="31" t="str">
        <x:v>https://www.digikey.com/en/products/detail/kemet/C0603C470J1GACTU/2200767</x:v>
      </x:c>
      <x:c r="L257" s="31" t="str"/>
    </x:row>
    <x:row r="258" ht="38" customHeight="1">
      <x:c r="A258" s="12" t="str">
        <x:v>C1610</x:v>
      </x:c>
      <x:c r="B258" s="12" t="str">
        <x:v>100n 16V X7R</x:v>
      </x:c>
      <x:c r="C258" s="12" t="str">
        <x:v>Да</x:v>
      </x:c>
      <x:c r="D258" s="11" t="str">
        <x:v>C0603C104K5RACTU</x:v>
      </x:c>
      <x:c r="E258" s="12" t="str">
        <x:v>KEMET</x:v>
      </x:c>
      <x:c r="F258" s="11" t="str">
        <x:v>0603</x:v>
      </x:c>
      <x:c r="G258" s="12" t="str">
        <x:v>SURFACE_MOUNT</x:v>
      </x:c>
      <x:c r="H258" s="12" t="str">
        <x:v>SELECTED_CATALOG_ITEM</x:v>
      </x:c>
      <x:c r="I258" s="12" t="str">
        <x:v>Не выпущено</x:v>
      </x:c>
      <x:c r="J258" s="33" t="str">
        <x:v>capacitance_pf: 100000; rated_voltage_v: 50; dielectric: X7R; tolerance_pct: 10; temperature_min_c: -55; temperature_max_c: 125</x:v>
      </x:c>
      <x:c r="K258" s="33" t="str">
        <x:v>https://search.kemet.com/download/specsheet/C0603C104K5RACTU</x:v>
      </x:c>
      <x:c r="L258" s="33" t="str"/>
    </x:row>
    <x:row r="259" ht="38" customHeight="1">
      <x:c r="A259" s="2" t="str">
        <x:v>C1701</x:v>
      </x:c>
      <x:c r="B259" s="2" t="str">
        <x:v>4.7uF 16V X7R</x:v>
      </x:c>
      <x:c r="C259" s="2" t="str">
        <x:v>Да</x:v>
      </x:c>
      <x:c r="D259" s="8" t="str">
        <x:v>GMC10X7R475K16NT</x:v>
      </x:c>
      <x:c r="E259" s="2" t="str">
        <x:v>Cal-Chip Electronics</x:v>
      </x:c>
      <x:c r="F259" s="8" t="str">
        <x:v>0603</x:v>
      </x:c>
      <x:c r="G259" s="2" t="str">
        <x:v>SURFACE_MOUNT</x:v>
      </x:c>
      <x:c r="H259" s="2" t="str">
        <x:v>SELECTED_CATALOG_ITEM</x:v>
      </x:c>
      <x:c r="I259" s="2" t="str">
        <x:v>Не выпущено</x:v>
      </x:c>
      <x:c r="J259" s="31" t="str">
        <x:v>capacitance_pf: 4700000; rated_voltage_v: 16; dielectric: X7R; tolerance_pct: 10; temperature_min_c: -55; temperature_max_c: 125; effective_capacitance_min_pf: None; dc_bias_qualification: PENDING_AT_ACTUAL_NODE_VOLTAGE</x:v>
      </x:c>
      <x:c r="K259" s="31" t="str">
        <x:v>https://www.digikey.com/en/products/detail/cal-chip-electronics-inc/GMC10X7R475K16NT/22471820</x:v>
      </x:c>
      <x:c r="L259" s="31" t="str"/>
    </x:row>
    <x:row r="260" ht="38" customHeight="1">
      <x:c r="A260" s="12" t="str">
        <x:v>C1702</x:v>
      </x:c>
      <x:c r="B260" s="12" t="str">
        <x:v>100nF 25V X7R</x:v>
      </x:c>
      <x:c r="C260" s="12" t="str">
        <x:v>Да</x:v>
      </x:c>
      <x:c r="D260" s="11" t="str">
        <x:v>C0603C104K5RACTU</x:v>
      </x:c>
      <x:c r="E260" s="12" t="str">
        <x:v>KEMET</x:v>
      </x:c>
      <x:c r="F260" s="11" t="str">
        <x:v>0603</x:v>
      </x:c>
      <x:c r="G260" s="12" t="str">
        <x:v>SURFACE_MOUNT</x:v>
      </x:c>
      <x:c r="H260" s="12" t="str">
        <x:v>SELECTED_CATALOG_ITEM</x:v>
      </x:c>
      <x:c r="I260" s="12" t="str">
        <x:v>Не выпущено</x:v>
      </x:c>
      <x:c r="J260" s="33" t="str">
        <x:v>capacitance_pf: 100000; rated_voltage_v: 50; dielectric: X7R; tolerance_pct: 10; temperature_min_c: -55; temperature_max_c: 125</x:v>
      </x:c>
      <x:c r="K260" s="33" t="str">
        <x:v>https://search.kemet.com/download/specsheet/C0603C104K5RACTU</x:v>
      </x:c>
      <x:c r="L260" s="33" t="str"/>
    </x:row>
    <x:row r="261" ht="38" customHeight="1">
      <x:c r="A261" s="2" t="str">
        <x:v>C1703</x:v>
      </x:c>
      <x:c r="B261" s="2" t="str">
        <x:v>100nF 25V X7R</x:v>
      </x:c>
      <x:c r="C261" s="2" t="str">
        <x:v>Да</x:v>
      </x:c>
      <x:c r="D261" s="8" t="str">
        <x:v>C0603C104K5RACTU</x:v>
      </x:c>
      <x:c r="E261" s="2" t="str">
        <x:v>KEMET</x:v>
      </x:c>
      <x:c r="F261" s="8" t="str">
        <x:v>0603</x:v>
      </x:c>
      <x:c r="G261" s="2" t="str">
        <x:v>SURFACE_MOUNT</x:v>
      </x:c>
      <x:c r="H261" s="2" t="str">
        <x:v>SELECTED_CATALOG_ITEM</x:v>
      </x:c>
      <x:c r="I261" s="2" t="str">
        <x:v>Не выпущено</x:v>
      </x:c>
      <x:c r="J261" s="31" t="str">
        <x:v>capacitance_pf: 100000; rated_voltage_v: 50; dielectric: X7R; tolerance_pct: 10; temperature_min_c: -55; temperature_max_c: 125</x:v>
      </x:c>
      <x:c r="K261" s="31" t="str">
        <x:v>https://search.kemet.com/download/specsheet/C0603C104K5RACTU</x:v>
      </x:c>
      <x:c r="L261" s="31" t="str"/>
    </x:row>
    <x:row r="262" ht="38" customHeight="1">
      <x:c r="A262" s="12" t="str">
        <x:v>C1704</x:v>
      </x:c>
      <x:c r="B262" s="12" t="str">
        <x:v>100nF 25V X7R</x:v>
      </x:c>
      <x:c r="C262" s="12" t="str">
        <x:v>Да</x:v>
      </x:c>
      <x:c r="D262" s="11" t="str">
        <x:v>C0603C104K5RACTU</x:v>
      </x:c>
      <x:c r="E262" s="12" t="str">
        <x:v>KEMET</x:v>
      </x:c>
      <x:c r="F262" s="11" t="str">
        <x:v>0603</x:v>
      </x:c>
      <x:c r="G262" s="12" t="str">
        <x:v>SURFACE_MOUNT</x:v>
      </x:c>
      <x:c r="H262" s="12" t="str">
        <x:v>SELECTED_CATALOG_ITEM</x:v>
      </x:c>
      <x:c r="I262" s="12" t="str">
        <x:v>Не выпущено</x:v>
      </x:c>
      <x:c r="J262" s="33" t="str">
        <x:v>capacitance_pf: 100000; rated_voltage_v: 50; dielectric: X7R; tolerance_pct: 10; temperature_min_c: -55; temperature_max_c: 125</x:v>
      </x:c>
      <x:c r="K262" s="33" t="str">
        <x:v>https://search.kemet.com/download/specsheet/C0603C104K5RACTU</x:v>
      </x:c>
      <x:c r="L262" s="33" t="str"/>
    </x:row>
    <x:row r="263" ht="38" customHeight="1">
      <x:c r="A263" s="2" t="str">
        <x:v>C1705</x:v>
      </x:c>
      <x:c r="B263" s="2" t="str">
        <x:v>100nF 25V X7R</x:v>
      </x:c>
      <x:c r="C263" s="2" t="str">
        <x:v>Да</x:v>
      </x:c>
      <x:c r="D263" s="8" t="str">
        <x:v>C0603C104K5RACTU</x:v>
      </x:c>
      <x:c r="E263" s="2" t="str">
        <x:v>KEMET</x:v>
      </x:c>
      <x:c r="F263" s="8" t="str">
        <x:v>0603</x:v>
      </x:c>
      <x:c r="G263" s="2" t="str">
        <x:v>SURFACE_MOUNT</x:v>
      </x:c>
      <x:c r="H263" s="2" t="str">
        <x:v>SELECTED_CATALOG_ITEM</x:v>
      </x:c>
      <x:c r="I263" s="2" t="str">
        <x:v>Не выпущено</x:v>
      </x:c>
      <x:c r="J263" s="31" t="str">
        <x:v>capacitance_pf: 100000; rated_voltage_v: 50; dielectric: X7R; tolerance_pct: 10; temperature_min_c: -55; temperature_max_c: 125</x:v>
      </x:c>
      <x:c r="K263" s="31" t="str">
        <x:v>https://search.kemet.com/download/specsheet/C0603C104K5RACTU</x:v>
      </x:c>
      <x:c r="L263" s="31" t="str"/>
    </x:row>
    <x:row r="264" ht="38" customHeight="1">
      <x:c r="A264" s="12" t="str">
        <x:v>C1706</x:v>
      </x:c>
      <x:c r="B264" s="12" t="str">
        <x:v>100nF 25V X7R</x:v>
      </x:c>
      <x:c r="C264" s="12" t="str">
        <x:v>Да</x:v>
      </x:c>
      <x:c r="D264" s="11" t="str">
        <x:v>C0603C104K5RACTU</x:v>
      </x:c>
      <x:c r="E264" s="12" t="str">
        <x:v>KEMET</x:v>
      </x:c>
      <x:c r="F264" s="11" t="str">
        <x:v>0603</x:v>
      </x:c>
      <x:c r="G264" s="12" t="str">
        <x:v>SURFACE_MOUNT</x:v>
      </x:c>
      <x:c r="H264" s="12" t="str">
        <x:v>SELECTED_CATALOG_ITEM</x:v>
      </x:c>
      <x:c r="I264" s="12" t="str">
        <x:v>Не выпущено</x:v>
      </x:c>
      <x:c r="J264" s="33" t="str">
        <x:v>capacitance_pf: 100000; rated_voltage_v: 50; dielectric: X7R; tolerance_pct: 10; temperature_min_c: -55; temperature_max_c: 125</x:v>
      </x:c>
      <x:c r="K264" s="33" t="str">
        <x:v>https://search.kemet.com/download/specsheet/C0603C104K5RACTU</x:v>
      </x:c>
      <x:c r="L264" s="33" t="str"/>
    </x:row>
    <x:row r="265" ht="38" customHeight="1">
      <x:c r="A265" s="2" t="str">
        <x:v>C1711</x:v>
      </x:c>
      <x:c r="B265" s="2" t="str">
        <x:v>3.3nF 50V C0G</x:v>
      </x:c>
      <x:c r="C265" s="2" t="str">
        <x:v>Да</x:v>
      </x:c>
      <x:c r="D265" s="8" t="str">
        <x:v>C0603C332J5GACTU</x:v>
      </x:c>
      <x:c r="E265" s="2" t="str">
        <x:v>KEMET</x:v>
      </x:c>
      <x:c r="F265" s="8" t="str">
        <x:v>0603</x:v>
      </x:c>
      <x:c r="G265" s="2" t="str">
        <x:v>SURFACE_MOUNT</x:v>
      </x:c>
      <x:c r="H265" s="2" t="str">
        <x:v>SELECTED_CATALOG_ITEM</x:v>
      </x:c>
      <x:c r="I265" s="2" t="str">
        <x:v>Не выпущено</x:v>
      </x:c>
      <x:c r="J265" s="31" t="str">
        <x:v>capacitance_pf: 3300; rated_voltage_v: 50; dielectric: C0G; tolerance_pct: 5; temperature_min_c: -55; temperature_max_c: 125</x:v>
      </x:c>
      <x:c r="K265" s="31" t="str">
        <x:v>https://www.digikey.com/en/products/detail/kemet/C0603C332J5GACTU/2200552</x:v>
      </x:c>
      <x:c r="L265" s="31" t="str"/>
    </x:row>
    <x:row r="266" ht="38" customHeight="1">
      <x:c r="A266" s="12" t="str">
        <x:v>C1721</x:v>
      </x:c>
      <x:c r="B266" s="12" t="str">
        <x:v>3.3nF 50V C0G</x:v>
      </x:c>
      <x:c r="C266" s="12" t="str">
        <x:v>Да</x:v>
      </x:c>
      <x:c r="D266" s="11" t="str">
        <x:v>C0603C332J5GACTU</x:v>
      </x:c>
      <x:c r="E266" s="12" t="str">
        <x:v>KEMET</x:v>
      </x:c>
      <x:c r="F266" s="11" t="str">
        <x:v>0603</x:v>
      </x:c>
      <x:c r="G266" s="12" t="str">
        <x:v>SURFACE_MOUNT</x:v>
      </x:c>
      <x:c r="H266" s="12" t="str">
        <x:v>SELECTED_CATALOG_ITEM</x:v>
      </x:c>
      <x:c r="I266" s="12" t="str">
        <x:v>Не выпущено</x:v>
      </x:c>
      <x:c r="J266" s="33" t="str">
        <x:v>capacitance_pf: 3300; rated_voltage_v: 50; dielectric: C0G; tolerance_pct: 5; temperature_min_c: -55; temperature_max_c: 125</x:v>
      </x:c>
      <x:c r="K266" s="33" t="str">
        <x:v>https://www.digikey.com/en/products/detail/kemet/C0603C332J5GACTU/2200552</x:v>
      </x:c>
      <x:c r="L266" s="33" t="str"/>
    </x:row>
    <x:row r="267" ht="38" customHeight="1">
      <x:c r="A267" s="2" t="str">
        <x:v>C5001</x:v>
      </x:c>
      <x:c r="B267" s="2" t="str">
        <x:v>100n 100V X7R</x:v>
      </x:c>
      <x:c r="C267" s="2" t="str">
        <x:v>Да</x:v>
      </x:c>
      <x:c r="D267" s="8" t="str">
        <x:v>C0805C104K1RACTU</x:v>
      </x:c>
      <x:c r="E267" s="2" t="str">
        <x:v>KEMET</x:v>
      </x:c>
      <x:c r="F267" s="8" t="str">
        <x:v>0805</x:v>
      </x:c>
      <x:c r="G267" s="2" t="str">
        <x:v>SURFACE_MOUNT</x:v>
      </x:c>
      <x:c r="H267" s="2" t="str">
        <x:v>SELECTED_CATALOG_ITEM</x:v>
      </x:c>
      <x:c r="I267" s="2" t="str">
        <x:v>Не выпущено</x:v>
      </x:c>
      <x:c r="J267" s="31" t="str">
        <x:v>capacitance_pf: 100000; rated_voltage_v: 100; dielectric: X7R; tolerance_pct: 10; temperature_min_c: -55; temperature_max_c: 125</x:v>
      </x:c>
      <x:c r="K267" s="31" t="str">
        <x:v>https://www.mouser.com/datasheet/3/72/1/C0805C104K1RACTU.pdf</x:v>
      </x:c>
      <x:c r="L267" s="31" t="str"/>
    </x:row>
    <x:row r="268" ht="38" customHeight="1">
      <x:c r="A268" s="12" t="str">
        <x:v>C5002</x:v>
      </x:c>
      <x:c r="B268" s="12" t="str">
        <x:v>100n 25V X7R</x:v>
      </x:c>
      <x:c r="C268" s="12" t="str">
        <x:v>Да</x:v>
      </x:c>
      <x:c r="D268" s="11" t="str">
        <x:v>C0805C104K1RACTU</x:v>
      </x:c>
      <x:c r="E268" s="12" t="str">
        <x:v>KEMET</x:v>
      </x:c>
      <x:c r="F268" s="11" t="str">
        <x:v>0805</x:v>
      </x:c>
      <x:c r="G268" s="12" t="str">
        <x:v>SURFACE_MOUNT</x:v>
      </x:c>
      <x:c r="H268" s="12" t="str">
        <x:v>SELECTED_CATALOG_ITEM</x:v>
      </x:c>
      <x:c r="I268" s="12" t="str">
        <x:v>Не выпущено</x:v>
      </x:c>
      <x:c r="J268" s="33" t="str">
        <x:v>capacitance_pf: 100000; rated_voltage_v: 100; dielectric: X7R; tolerance_pct: 10; temperature_min_c: -55; temperature_max_c: 125</x:v>
      </x:c>
      <x:c r="K268" s="33" t="str">
        <x:v>https://www.mouser.com/datasheet/3/72/1/C0805C104K1RACTU.pdf</x:v>
      </x:c>
      <x:c r="L268" s="33" t="str"/>
    </x:row>
    <x:row r="269" ht="38" customHeight="1">
      <x:c r="A269" s="2" t="str">
        <x:v>C5003</x:v>
      </x:c>
      <x:c r="B269" s="2" t="str">
        <x:v>100n 100V X7R</x:v>
      </x:c>
      <x:c r="C269" s="2" t="str">
        <x:v>Да</x:v>
      </x:c>
      <x:c r="D269" s="8" t="str">
        <x:v>C0805C104K1RACTU</x:v>
      </x:c>
      <x:c r="E269" s="2" t="str">
        <x:v>KEMET</x:v>
      </x:c>
      <x:c r="F269" s="8" t="str">
        <x:v>0805</x:v>
      </x:c>
      <x:c r="G269" s="2" t="str">
        <x:v>SURFACE_MOUNT</x:v>
      </x:c>
      <x:c r="H269" s="2" t="str">
        <x:v>SELECTED_CATALOG_ITEM</x:v>
      </x:c>
      <x:c r="I269" s="2" t="str">
        <x:v>Не выпущено</x:v>
      </x:c>
      <x:c r="J269" s="31" t="str">
        <x:v>capacitance_pf: 100000; rated_voltage_v: 100; dielectric: X7R; tolerance_pct: 10; temperature_min_c: -55; temperature_max_c: 125</x:v>
      </x:c>
      <x:c r="K269" s="31" t="str">
        <x:v>https://www.mouser.com/datasheet/3/72/1/C0805C104K1RACTU.pdf</x:v>
      </x:c>
      <x:c r="L269" s="31" t="str"/>
    </x:row>
    <x:row r="270" ht="38" customHeight="1">
      <x:c r="A270" s="12" t="str">
        <x:v>C5004</x:v>
      </x:c>
      <x:c r="B270" s="12" t="str">
        <x:v>100n 50V X7R</x:v>
      </x:c>
      <x:c r="C270" s="12" t="str">
        <x:v>Да</x:v>
      </x:c>
      <x:c r="D270" s="11" t="str">
        <x:v>C0805C104K1RACTU</x:v>
      </x:c>
      <x:c r="E270" s="12" t="str">
        <x:v>KEMET</x:v>
      </x:c>
      <x:c r="F270" s="11" t="str">
        <x:v>0805</x:v>
      </x:c>
      <x:c r="G270" s="12" t="str">
        <x:v>SURFACE_MOUNT</x:v>
      </x:c>
      <x:c r="H270" s="12" t="str">
        <x:v>SELECTED_CATALOG_ITEM</x:v>
      </x:c>
      <x:c r="I270" s="12" t="str">
        <x:v>Не выпущено</x:v>
      </x:c>
      <x:c r="J270" s="33" t="str">
        <x:v>capacitance_pf: 100000; rated_voltage_v: 100; dielectric: X7R; tolerance_pct: 10; temperature_min_c: -55; temperature_max_c: 125</x:v>
      </x:c>
      <x:c r="K270" s="33" t="str">
        <x:v>https://www.mouser.com/datasheet/3/72/1/C0805C104K1RACTU.pdf</x:v>
      </x:c>
      <x:c r="L270" s="33" t="str"/>
    </x:row>
    <x:row r="271" ht="38" customHeight="1">
      <x:c r="A271" s="2" t="str">
        <x:v>C5005</x:v>
      </x:c>
      <x:c r="B271" s="2" t="str">
        <x:v>22n 100V X7R</x:v>
      </x:c>
      <x:c r="C271" s="2" t="str">
        <x:v>Да</x:v>
      </x:c>
      <x:c r="D271" s="8" t="str">
        <x:v>C0805C223K1RACTU</x:v>
      </x:c>
      <x:c r="E271" s="2" t="str">
        <x:v>KEMET</x:v>
      </x:c>
      <x:c r="F271" s="8" t="str">
        <x:v>0805</x:v>
      </x:c>
      <x:c r="G271" s="2" t="str">
        <x:v>SURFACE_MOUNT</x:v>
      </x:c>
      <x:c r="H271" s="2" t="str">
        <x:v>SELECTED_CATALOG_ITEM</x:v>
      </x:c>
      <x:c r="I271" s="2" t="str">
        <x:v>Не выпущено</x:v>
      </x:c>
      <x:c r="J271" s="31" t="str">
        <x:v>capacitance_pf: 22000; rated_voltage_v: 100; dielectric: X7R; tolerance_pct: 10; temperature_min_c: -55; temperature_max_c: 125</x:v>
      </x:c>
      <x:c r="K271" s="31" t="str">
        <x:v>https://www.tme.com/Document/1eb495a6db632c9d0f71cb50aeea4240/C0805C223K1RACTU.pdf</x:v>
      </x:c>
      <x:c r="L271" s="31" t="str"/>
    </x:row>
    <x:row r="272" ht="38" customHeight="1">
      <x:c r="A272" s="12" t="str">
        <x:v>C5051</x:v>
      </x:c>
      <x:c r="B272" s="12" t="str">
        <x:v>100n 100V X7R</x:v>
      </x:c>
      <x:c r="C272" s="12" t="str">
        <x:v>Да</x:v>
      </x:c>
      <x:c r="D272" s="11" t="str">
        <x:v>C0805C104K1RACTU</x:v>
      </x:c>
      <x:c r="E272" s="12" t="str">
        <x:v>KEMET</x:v>
      </x:c>
      <x:c r="F272" s="11" t="str">
        <x:v>0805</x:v>
      </x:c>
      <x:c r="G272" s="12" t="str">
        <x:v>SURFACE_MOUNT</x:v>
      </x:c>
      <x:c r="H272" s="12" t="str">
        <x:v>SELECTED_CATALOG_ITEM</x:v>
      </x:c>
      <x:c r="I272" s="12" t="str">
        <x:v>Не выпущено</x:v>
      </x:c>
      <x:c r="J272" s="33" t="str">
        <x:v>capacitance_pf: 100000; rated_voltage_v: 100; dielectric: X7R; tolerance_pct: 10; temperature_min_c: -55; temperature_max_c: 125</x:v>
      </x:c>
      <x:c r="K272" s="33" t="str">
        <x:v>https://www.mouser.com/datasheet/3/72/1/C0805C104K1RACTU.pdf</x:v>
      </x:c>
      <x:c r="L272" s="33" t="str"/>
    </x:row>
    <x:row r="273" ht="38" customHeight="1">
      <x:c r="A273" s="2" t="str">
        <x:v>C5052</x:v>
      </x:c>
      <x:c r="B273" s="2" t="str">
        <x:v>100n 25V X7R</x:v>
      </x:c>
      <x:c r="C273" s="2" t="str">
        <x:v>Да</x:v>
      </x:c>
      <x:c r="D273" s="8" t="str">
        <x:v>C0805C104K1RACTU</x:v>
      </x:c>
      <x:c r="E273" s="2" t="str">
        <x:v>KEMET</x:v>
      </x:c>
      <x:c r="F273" s="8" t="str">
        <x:v>0805</x:v>
      </x:c>
      <x:c r="G273" s="2" t="str">
        <x:v>SURFACE_MOUNT</x:v>
      </x:c>
      <x:c r="H273" s="2" t="str">
        <x:v>SELECTED_CATALOG_ITEM</x:v>
      </x:c>
      <x:c r="I273" s="2" t="str">
        <x:v>Не выпущено</x:v>
      </x:c>
      <x:c r="J273" s="31" t="str">
        <x:v>capacitance_pf: 100000; rated_voltage_v: 100; dielectric: X7R; tolerance_pct: 10; temperature_min_c: -55; temperature_max_c: 125</x:v>
      </x:c>
      <x:c r="K273" s="31" t="str">
        <x:v>https://www.mouser.com/datasheet/3/72/1/C0805C104K1RACTU.pdf</x:v>
      </x:c>
      <x:c r="L273" s="31" t="str"/>
    </x:row>
    <x:row r="274" ht="38" customHeight="1">
      <x:c r="A274" s="12" t="str">
        <x:v>C5053</x:v>
      </x:c>
      <x:c r="B274" s="12" t="str">
        <x:v>100n 100V X7R</x:v>
      </x:c>
      <x:c r="C274" s="12" t="str">
        <x:v>Да</x:v>
      </x:c>
      <x:c r="D274" s="11" t="str">
        <x:v>C0805C104K1RACTU</x:v>
      </x:c>
      <x:c r="E274" s="12" t="str">
        <x:v>KEMET</x:v>
      </x:c>
      <x:c r="F274" s="11" t="str">
        <x:v>0805</x:v>
      </x:c>
      <x:c r="G274" s="12" t="str">
        <x:v>SURFACE_MOUNT</x:v>
      </x:c>
      <x:c r="H274" s="12" t="str">
        <x:v>SELECTED_CATALOG_ITEM</x:v>
      </x:c>
      <x:c r="I274" s="12" t="str">
        <x:v>Не выпущено</x:v>
      </x:c>
      <x:c r="J274" s="33" t="str">
        <x:v>capacitance_pf: 100000; rated_voltage_v: 100; dielectric: X7R; tolerance_pct: 10; temperature_min_c: -55; temperature_max_c: 125</x:v>
      </x:c>
      <x:c r="K274" s="33" t="str">
        <x:v>https://www.mouser.com/datasheet/3/72/1/C0805C104K1RACTU.pdf</x:v>
      </x:c>
      <x:c r="L274" s="33" t="str"/>
    </x:row>
    <x:row r="275" ht="38" customHeight="1">
      <x:c r="A275" s="2" t="str">
        <x:v>C5054</x:v>
      </x:c>
      <x:c r="B275" s="2" t="str">
        <x:v>100n 50V X7R</x:v>
      </x:c>
      <x:c r="C275" s="2" t="str">
        <x:v>Да</x:v>
      </x:c>
      <x:c r="D275" s="8" t="str">
        <x:v>C0805C104K1RACTU</x:v>
      </x:c>
      <x:c r="E275" s="2" t="str">
        <x:v>KEMET</x:v>
      </x:c>
      <x:c r="F275" s="8" t="str">
        <x:v>0805</x:v>
      </x:c>
      <x:c r="G275" s="2" t="str">
        <x:v>SURFACE_MOUNT</x:v>
      </x:c>
      <x:c r="H275" s="2" t="str">
        <x:v>SELECTED_CATALOG_ITEM</x:v>
      </x:c>
      <x:c r="I275" s="2" t="str">
        <x:v>Не выпущено</x:v>
      </x:c>
      <x:c r="J275" s="31" t="str">
        <x:v>capacitance_pf: 100000; rated_voltage_v: 100; dielectric: X7R; tolerance_pct: 10; temperature_min_c: -55; temperature_max_c: 125</x:v>
      </x:c>
      <x:c r="K275" s="31" t="str">
        <x:v>https://www.mouser.com/datasheet/3/72/1/C0805C104K1RACTU.pdf</x:v>
      </x:c>
      <x:c r="L275" s="31" t="str"/>
    </x:row>
    <x:row r="276" ht="38" customHeight="1">
      <x:c r="A276" s="12" t="str">
        <x:v>C5055</x:v>
      </x:c>
      <x:c r="B276" s="12" t="str">
        <x:v>22n 100V X7R</x:v>
      </x:c>
      <x:c r="C276" s="12" t="str">
        <x:v>Да</x:v>
      </x:c>
      <x:c r="D276" s="11" t="str">
        <x:v>C0805C223K1RACTU</x:v>
      </x:c>
      <x:c r="E276" s="12" t="str">
        <x:v>KEMET</x:v>
      </x:c>
      <x:c r="F276" s="11" t="str">
        <x:v>0805</x:v>
      </x:c>
      <x:c r="G276" s="12" t="str">
        <x:v>SURFACE_MOUNT</x:v>
      </x:c>
      <x:c r="H276" s="12" t="str">
        <x:v>SELECTED_CATALOG_ITEM</x:v>
      </x:c>
      <x:c r="I276" s="12" t="str">
        <x:v>Не выпущено</x:v>
      </x:c>
      <x:c r="J276" s="33" t="str">
        <x:v>capacitance_pf: 22000; rated_voltage_v: 100; dielectric: X7R; tolerance_pct: 10; temperature_min_c: -55; temperature_max_c: 125</x:v>
      </x:c>
      <x:c r="K276" s="33" t="str">
        <x:v>https://www.tme.com/Document/1eb495a6db632c9d0f71cb50aeea4240/C0805C223K1RACTU.pdf</x:v>
      </x:c>
      <x:c r="L276" s="33" t="str"/>
    </x:row>
    <x:row r="277" ht="38" customHeight="1">
      <x:c r="A277" s="2" t="str">
        <x:v>C5101</x:v>
      </x:c>
      <x:c r="B277" s="2" t="str">
        <x:v>100n 25V X7R</x:v>
      </x:c>
      <x:c r="C277" s="2" t="str">
        <x:v>Да</x:v>
      </x:c>
      <x:c r="D277" s="8" t="str">
        <x:v>C0805C104K1RACTU</x:v>
      </x:c>
      <x:c r="E277" s="2" t="str">
        <x:v>KEMET</x:v>
      </x:c>
      <x:c r="F277" s="8" t="str">
        <x:v>0805</x:v>
      </x:c>
      <x:c r="G277" s="2" t="str">
        <x:v>SURFACE_MOUNT</x:v>
      </x:c>
      <x:c r="H277" s="2" t="str">
        <x:v>SELECTED_CATALOG_ITEM</x:v>
      </x:c>
      <x:c r="I277" s="2" t="str">
        <x:v>Не выпущено</x:v>
      </x:c>
      <x:c r="J277" s="31" t="str">
        <x:v>capacitance_pf: 100000; rated_voltage_v: 100; dielectric: X7R; tolerance_pct: 10; temperature_min_c: -55; temperature_max_c: 125</x:v>
      </x:c>
      <x:c r="K277" s="31" t="str">
        <x:v>https://www.mouser.com/datasheet/3/72/1/C0805C104K1RACTU.pdf</x:v>
      </x:c>
      <x:c r="L277" s="31" t="str"/>
    </x:row>
    <x:row r="278" ht="38" customHeight="1">
      <x:c r="A278" s="12" t="str">
        <x:v>C5200</x:v>
      </x:c>
      <x:c r="B278" s="12" t="str">
        <x:v>10u 100V X7R</x:v>
      </x:c>
      <x:c r="C278" s="12" t="str">
        <x:v>Да</x:v>
      </x:c>
      <x:c r="D278" s="11" t="str">
        <x:v>C3225X7R2A106K250AC</x:v>
      </x:c>
      <x:c r="E278" s="12" t="str">
        <x:v>TDK</x:v>
      </x:c>
      <x:c r="F278" s="11" t="str">
        <x:v>1210</x:v>
      </x:c>
      <x:c r="G278" s="12" t="str">
        <x:v>SURFACE_MOUNT</x:v>
      </x:c>
      <x:c r="H278" s="12" t="str">
        <x:v>SELECTED_CATALOG_ITEM</x:v>
      </x:c>
      <x:c r="I278" s="12" t="str">
        <x:v>Не выпущено</x:v>
      </x:c>
      <x:c r="J278" s="33" t="str">
        <x:v>capacitance_pf: 10000000; rated_voltage_v: 100; dielectric: X7R; tolerance_pct: 10; temperature_min_c: -55; temperature_max_c: 125; effective_capacitance_min_pf: None; dc_bias_qualification: PENDING_AT_ACTUAL_NODE_VOLTAGE</x:v>
      </x:c>
      <x:c r="K278" s="33" t="str">
        <x:v>https://www.digikey.com/en/products/detail/tdk/C3225X7R2A106K250AC/15930207</x:v>
      </x:c>
      <x:c r="L278" s="33" t="str">
        <x:v>Required effective capacitance not yet verified with supplier bias, temperature, tolerance and aging envelope.</x:v>
      </x:c>
    </x:row>
    <x:row r="279" ht="38" customHeight="1">
      <x:c r="A279" s="2" t="str">
        <x:v>C5201</x:v>
      </x:c>
      <x:c r="B279" s="2" t="str">
        <x:v>10u 100V X7R</x:v>
      </x:c>
      <x:c r="C279" s="2" t="str">
        <x:v>Да</x:v>
      </x:c>
      <x:c r="D279" s="8" t="str">
        <x:v>C3225X7R2A106K250AC</x:v>
      </x:c>
      <x:c r="E279" s="2" t="str">
        <x:v>TDK</x:v>
      </x:c>
      <x:c r="F279" s="8" t="str">
        <x:v>1210</x:v>
      </x:c>
      <x:c r="G279" s="2" t="str">
        <x:v>SURFACE_MOUNT</x:v>
      </x:c>
      <x:c r="H279" s="2" t="str">
        <x:v>SELECTED_CATALOG_ITEM</x:v>
      </x:c>
      <x:c r="I279" s="2" t="str">
        <x:v>Не выпущено</x:v>
      </x:c>
      <x:c r="J279" s="31" t="str">
        <x:v>capacitance_pf: 10000000; rated_voltage_v: 100; dielectric: X7R; tolerance_pct: 10; temperature_min_c: -55; temperature_max_c: 125; effective_capacitance_min_pf: None; dc_bias_qualification: PENDING_AT_ACTUAL_NODE_VOLTAGE</x:v>
      </x:c>
      <x:c r="K279" s="31" t="str">
        <x:v>https://www.digikey.com/en/products/detail/tdk/C3225X7R2A106K250AC/15930207</x:v>
      </x:c>
      <x:c r="L279" s="31" t="str"/>
    </x:row>
    <x:row r="280" ht="38" customHeight="1">
      <x:c r="A280" s="12" t="str">
        <x:v>C5202</x:v>
      </x:c>
      <x:c r="B280" s="12" t="str">
        <x:v>47n 100V X7R</x:v>
      </x:c>
      <x:c r="C280" s="12" t="str">
        <x:v>Да</x:v>
      </x:c>
      <x:c r="D280" s="11" t="str">
        <x:v>C0805C473K1RACTU</x:v>
      </x:c>
      <x:c r="E280" s="12" t="str">
        <x:v>KEMET</x:v>
      </x:c>
      <x:c r="F280" s="11" t="str">
        <x:v>0805</x:v>
      </x:c>
      <x:c r="G280" s="12" t="str">
        <x:v>SURFACE_MOUNT</x:v>
      </x:c>
      <x:c r="H280" s="12" t="str">
        <x:v>SELECTED_CATALOG_ITEM</x:v>
      </x:c>
      <x:c r="I280" s="12" t="str">
        <x:v>Не выпущено</x:v>
      </x:c>
      <x:c r="J280" s="33" t="str">
        <x:v>capacitance_pf: 47000; rated_voltage_v: 100; dielectric: X7R; tolerance_pct: 10; temperature_min_c: -55; temperature_max_c: 125</x:v>
      </x:c>
      <x:c r="K280" s="33" t="str">
        <x:v>https://www.digikey.com/en/products/detail/kemet/C0805C473K1RACTU/2212858</x:v>
      </x:c>
      <x:c r="L280" s="33" t="str"/>
    </x:row>
    <x:row r="281" ht="38" customHeight="1">
      <x:c r="A281" s="2" t="str">
        <x:v>C5203</x:v>
      </x:c>
      <x:c r="B281" s="2" t="str">
        <x:v>470n 25V X7R</x:v>
      </x:c>
      <x:c r="C281" s="2" t="str">
        <x:v>Да</x:v>
      </x:c>
      <x:c r="D281" s="8" t="str">
        <x:v>C0805C474K5RACTU</x:v>
      </x:c>
      <x:c r="E281" s="2" t="str">
        <x:v>KEMET</x:v>
      </x:c>
      <x:c r="F281" s="8" t="str">
        <x:v>0805</x:v>
      </x:c>
      <x:c r="G281" s="2" t="str">
        <x:v>SURFACE_MOUNT</x:v>
      </x:c>
      <x:c r="H281" s="2" t="str">
        <x:v>SELECTED_CATALOG_ITEM</x:v>
      </x:c>
      <x:c r="I281" s="2" t="str">
        <x:v>Не выпущено</x:v>
      </x:c>
      <x:c r="J281" s="31" t="str">
        <x:v>capacitance_pf: 470000; rated_voltage_v: 50; dielectric: X7R; tolerance_pct: 10; temperature_min_c: -55; temperature_max_c: 125</x:v>
      </x:c>
      <x:c r="K281" s="31" t="str">
        <x:v>https://content.kemet.com/datasheets/CER_ENG_KIT_30.pdf</x:v>
      </x:c>
      <x:c r="L281" s="31" t="str"/>
    </x:row>
    <x:row r="282" ht="38" customHeight="1">
      <x:c r="A282" s="12" t="str">
        <x:v>C5204</x:v>
      </x:c>
      <x:c r="B282" s="12" t="str">
        <x:v>2.2u 16V X7R</x:v>
      </x:c>
      <x:c r="C282" s="12" t="str">
        <x:v>Да</x:v>
      </x:c>
      <x:c r="D282" s="11" t="str">
        <x:v>C0805C225K4RACTU</x:v>
      </x:c>
      <x:c r="E282" s="12" t="str">
        <x:v>KEMET</x:v>
      </x:c>
      <x:c r="F282" s="11" t="str">
        <x:v>0805</x:v>
      </x:c>
      <x:c r="G282" s="12" t="str">
        <x:v>SURFACE_MOUNT</x:v>
      </x:c>
      <x:c r="H282" s="12" t="str">
        <x:v>SELECTED_CATALOG_ITEM</x:v>
      </x:c>
      <x:c r="I282" s="12" t="str">
        <x:v>Не выпущено</x:v>
      </x:c>
      <x:c r="J282" s="33" t="str">
        <x:v>capacitance_pf: 2200000; rated_voltage_v: 16; dielectric: X7R; tolerance_pct: 10; temperature_min_c: -55; temperature_max_c: 125; effective_capacitance_min_pf: None; dc_bias_qualification: PENDING_AT_ACTUAL_NODE_VOLTAGE</x:v>
      </x:c>
      <x:c r="K282" s="33" t="str">
        <x:v>https://search.kemet.com/download/specsheet/C0805C225K4RACTU</x:v>
      </x:c>
      <x:c r="L282" s="33" t="str"/>
    </x:row>
    <x:row r="283" ht="38" customHeight="1">
      <x:c r="A283" s="2" t="str">
        <x:v>C5205</x:v>
      </x:c>
      <x:c r="B283" s="2" t="str">
        <x:v>1u 16V X7R</x:v>
      </x:c>
      <x:c r="C283" s="2" t="str">
        <x:v>Да</x:v>
      </x:c>
      <x:c r="D283" s="8" t="str">
        <x:v>C0805C105K5RACTU</x:v>
      </x:c>
      <x:c r="E283" s="2" t="str">
        <x:v>KEMET</x:v>
      </x:c>
      <x:c r="F283" s="8" t="str">
        <x:v>0805</x:v>
      </x:c>
      <x:c r="G283" s="2" t="str">
        <x:v>SURFACE_MOUNT</x:v>
      </x:c>
      <x:c r="H283" s="2" t="str">
        <x:v>SELECTED_CATALOG_ITEM</x:v>
      </x:c>
      <x:c r="I283" s="2" t="str">
        <x:v>Не выпущено</x:v>
      </x:c>
      <x:c r="J283" s="31" t="str">
        <x:v>capacitance_pf: 1000000; rated_voltage_v: 50; dielectric: X7R; tolerance_pct: 10; temperature_min_c: -55; temperature_max_c: 125; effective_capacitance_min_pf: None; dc_bias_qualification: PENDING_AT_ACTUAL_NODE_VOLTAGE</x:v>
      </x:c>
      <x:c r="K283" s="31" t="str">
        <x:v>https://search.kemet.com/component-documentation/download/specsheet/C0805C105K5RACTU</x:v>
      </x:c>
      <x:c r="L283" s="31" t="str"/>
    </x:row>
    <x:row r="284" ht="38" customHeight="1">
      <x:c r="A284" s="12" t="str">
        <x:v>C5206</x:v>
      </x:c>
      <x:c r="B284" s="12" t="str">
        <x:v>22n 16V X7R</x:v>
      </x:c>
      <x:c r="C284" s="12" t="str">
        <x:v>Да</x:v>
      </x:c>
      <x:c r="D284" s="11" t="str">
        <x:v>C0805C223K1RACTU</x:v>
      </x:c>
      <x:c r="E284" s="12" t="str">
        <x:v>KEMET</x:v>
      </x:c>
      <x:c r="F284" s="11" t="str">
        <x:v>0805</x:v>
      </x:c>
      <x:c r="G284" s="12" t="str">
        <x:v>SURFACE_MOUNT</x:v>
      </x:c>
      <x:c r="H284" s="12" t="str">
        <x:v>SELECTED_CATALOG_ITEM</x:v>
      </x:c>
      <x:c r="I284" s="12" t="str">
        <x:v>Не выпущено</x:v>
      </x:c>
      <x:c r="J284" s="33" t="str">
        <x:v>capacitance_pf: 22000; rated_voltage_v: 100; dielectric: X7R; tolerance_pct: 10; temperature_min_c: -55; temperature_max_c: 125</x:v>
      </x:c>
      <x:c r="K284" s="33" t="str">
        <x:v>https://www.tme.com/Document/1eb495a6db632c9d0f71cb50aeea4240/C0805C223K1RACTU.pdf</x:v>
      </x:c>
      <x:c r="L284" s="33" t="str"/>
    </x:row>
    <x:row r="285" ht="38" customHeight="1">
      <x:c r="A285" s="2" t="str">
        <x:v>C5207</x:v>
      </x:c>
      <x:c r="B285" s="2" t="str">
        <x:v>180p 50V C0G</x:v>
      </x:c>
      <x:c r="C285" s="2" t="str">
        <x:v>Да</x:v>
      </x:c>
      <x:c r="D285" s="8" t="str">
        <x:v>C0805C181J5GACTU</x:v>
      </x:c>
      <x:c r="E285" s="2" t="str">
        <x:v>KEMET</x:v>
      </x:c>
      <x:c r="F285" s="8" t="str">
        <x:v>0805</x:v>
      </x:c>
      <x:c r="G285" s="2" t="str">
        <x:v>SURFACE_MOUNT</x:v>
      </x:c>
      <x:c r="H285" s="2" t="str">
        <x:v>SELECTED_CATALOG_ITEM</x:v>
      </x:c>
      <x:c r="I285" s="2" t="str">
        <x:v>Не выпущено</x:v>
      </x:c>
      <x:c r="J285" s="31" t="str">
        <x:v>capacitance_pf: 180; rated_voltage_v: 50; dielectric: C0G; tolerance_pct: 5; temperature_min_c: -55; temperature_max_c: 125</x:v>
      </x:c>
      <x:c r="K285" s="31" t="str">
        <x:v>https://www.digikey.com/en/products/detail/kemet/C0805C181J5GACTU/411125</x:v>
      </x:c>
      <x:c r="L285" s="31" t="str">
        <x:v>Required effective capacitance not yet verified with supplier bias, temperature, tolerance and aging envelope.</x:v>
      </x:c>
    </x:row>
    <x:row r="286" ht="38" customHeight="1">
      <x:c r="A286" s="12" t="str">
        <x:v>C5208</x:v>
      </x:c>
      <x:c r="B286" s="12" t="str">
        <x:v>47u 16V X7R</x:v>
      </x:c>
      <x:c r="C286" s="12" t="str">
        <x:v>Да</x:v>
      </x:c>
      <x:c r="D286" s="11" t="str">
        <x:v>CS3225X7R476K160NRL</x:v>
      </x:c>
      <x:c r="E286" s="12" t="str">
        <x:v>Samwha Capacitor</x:v>
      </x:c>
      <x:c r="F286" s="11" t="str">
        <x:v>1210</x:v>
      </x:c>
      <x:c r="G286" s="12" t="str">
        <x:v>SURFACE_MOUNT</x:v>
      </x:c>
      <x:c r="H286" s="12" t="str">
        <x:v>SELECTED_CONDITIONAL</x:v>
      </x:c>
      <x:c r="I286" s="12" t="str">
        <x:v>Не выпущено</x:v>
      </x:c>
      <x:c r="J286" s="33" t="str">
        <x:v>capacitance_pf: 47000000; rated_voltage_v: 16; dielectric: X7R; tolerance_pct: 10; temperature_min_c: -55; temperature_max_c: 125; required_bank_effective_capacitance_min_pf: 100000000; bank_refs: ['C5208', 'C5209', 'C5210', 'C5211']; working_node_nominal_v: 5; effective_capacitance_min_pf: None; dc_bias_qualification: PENDING_AT_ACTUAL_NODE_VOLTAGE</x:v>
      </x:c>
      <x:c r="K286" s="33" t="str">
        <x:v>https://jlcpcb.com/partdetail/6321105-CS3225X7R476K160NRL/C5440143; https://www.tme.com/Document/15a3409220a9cd1969199d6f4e29e942/CS.pdf</x:v>
      </x:c>
      <x:c r="L286" s="33" t="str">
        <x:v>Four capacitors must jointly retain&gt;=100uF effective at5V including tolerance, temperature, bias and aging. Individual supplier bias envelope not obtained; loop/transient validation still required.; Required effective capacitance not yet verified with supplier bias, temperature, tolerance and aging envelope.</x:v>
      </x:c>
    </x:row>
    <x:row r="287" ht="38" customHeight="1">
      <x:c r="A287" s="2" t="str">
        <x:v>C5209</x:v>
      </x:c>
      <x:c r="B287" s="2" t="str">
        <x:v>47u 16V X7R</x:v>
      </x:c>
      <x:c r="C287" s="2" t="str">
        <x:v>Да</x:v>
      </x:c>
      <x:c r="D287" s="8" t="str">
        <x:v>CS3225X7R476K160NRL</x:v>
      </x:c>
      <x:c r="E287" s="2" t="str">
        <x:v>Samwha Capacitor</x:v>
      </x:c>
      <x:c r="F287" s="8" t="str">
        <x:v>1210</x:v>
      </x:c>
      <x:c r="G287" s="2" t="str">
        <x:v>SURFACE_MOUNT</x:v>
      </x:c>
      <x:c r="H287" s="2" t="str">
        <x:v>SELECTED_CONDITIONAL</x:v>
      </x:c>
      <x:c r="I287" s="2" t="str">
        <x:v>Не выпущено</x:v>
      </x:c>
      <x:c r="J287" s="31" t="str">
        <x:v>capacitance_pf: 47000000; rated_voltage_v: 16; dielectric: X7R; tolerance_pct: 10; temperature_min_c: -55; temperature_max_c: 125; required_bank_effective_capacitance_min_pf: 100000000; bank_refs: ['C5208', 'C5209', 'C5210', 'C5211']; working_node_nominal_v: 5; effective_capacitance_min_pf: None; dc_bias_qualification: PENDING_AT_ACTUAL_NODE_VOLTAGE</x:v>
      </x:c>
      <x:c r="K287" s="31" t="str">
        <x:v>https://jlcpcb.com/partdetail/6321105-CS3225X7R476K160NRL/C5440143; https://www.tme.com/Document/15a3409220a9cd1969199d6f4e29e942/CS.pdf</x:v>
      </x:c>
      <x:c r="L287" s="31" t="str">
        <x:v>Four capacitors must jointly retain&gt;=100uF effective at5V including tolerance, temperature, bias and aging. Individual supplier bias envelope not obtained; loop/transient validation still required.; Required effective capacitance not yet verified with supplier bias, temperature, tolerance and aging envelope.</x:v>
      </x:c>
    </x:row>
    <x:row r="288" ht="38" customHeight="1">
      <x:c r="A288" s="12" t="str">
        <x:v>C5210</x:v>
      </x:c>
      <x:c r="B288" s="12" t="str">
        <x:v>47u 16V X7R</x:v>
      </x:c>
      <x:c r="C288" s="12" t="str">
        <x:v>Да</x:v>
      </x:c>
      <x:c r="D288" s="11" t="str">
        <x:v>CS3225X7R476K160NRL</x:v>
      </x:c>
      <x:c r="E288" s="12" t="str">
        <x:v>Samwha Capacitor</x:v>
      </x:c>
      <x:c r="F288" s="11" t="str">
        <x:v>1210</x:v>
      </x:c>
      <x:c r="G288" s="12" t="str">
        <x:v>SURFACE_MOUNT</x:v>
      </x:c>
      <x:c r="H288" s="12" t="str">
        <x:v>SELECTED_CONDITIONAL</x:v>
      </x:c>
      <x:c r="I288" s="12" t="str">
        <x:v>Не выпущено</x:v>
      </x:c>
      <x:c r="J288" s="33" t="str">
        <x:v>capacitance_pf: 47000000; rated_voltage_v: 16; dielectric: X7R; tolerance_pct: 10; temperature_min_c: -55; temperature_max_c: 125; required_bank_effective_capacitance_min_pf: 100000000; bank_refs: ['C5208', 'C5209', 'C5210', 'C5211']; working_node_nominal_v: 5; effective_capacitance_min_pf: None; dc_bias_qualification: PENDING_AT_ACTUAL_NODE_VOLTAGE</x:v>
      </x:c>
      <x:c r="K288" s="33" t="str">
        <x:v>https://jlcpcb.com/partdetail/6321105-CS3225X7R476K160NRL/C5440143; https://www.tme.com/Document/15a3409220a9cd1969199d6f4e29e942/CS.pdf</x:v>
      </x:c>
      <x:c r="L288" s="33" t="str">
        <x:v>Four capacitors must jointly retain&gt;=100uF effective at5V including tolerance, temperature, bias and aging. Individual supplier bias envelope not obtained; loop/transient validation still required.; Required effective capacitance not yet verified with supplier bias, temperature, tolerance and aging envelope.</x:v>
      </x:c>
    </x:row>
    <x:row r="289" ht="38" customHeight="1">
      <x:c r="A289" s="2" t="str">
        <x:v>C5211</x:v>
      </x:c>
      <x:c r="B289" s="2" t="str">
        <x:v>47u 16V X7R</x:v>
      </x:c>
      <x:c r="C289" s="2" t="str">
        <x:v>Да</x:v>
      </x:c>
      <x:c r="D289" s="8" t="str">
        <x:v>CS3225X7R476K160NRL</x:v>
      </x:c>
      <x:c r="E289" s="2" t="str">
        <x:v>Samwha Capacitor</x:v>
      </x:c>
      <x:c r="F289" s="8" t="str">
        <x:v>1210</x:v>
      </x:c>
      <x:c r="G289" s="2" t="str">
        <x:v>SURFACE_MOUNT</x:v>
      </x:c>
      <x:c r="H289" s="2" t="str">
        <x:v>SELECTED_CONDITIONAL</x:v>
      </x:c>
      <x:c r="I289" s="2" t="str">
        <x:v>Не выпущено</x:v>
      </x:c>
      <x:c r="J289" s="31" t="str">
        <x:v>capacitance_pf: 47000000; rated_voltage_v: 16; dielectric: X7R; tolerance_pct: 10; temperature_min_c: -55; temperature_max_c: 125; required_bank_effective_capacitance_min_pf: 100000000; bank_refs: ['C5208', 'C5209', 'C5210', 'C5211']; working_node_nominal_v: 5; effective_capacitance_min_pf: None; dc_bias_qualification: PENDING_AT_ACTUAL_NODE_VOLTAGE</x:v>
      </x:c>
      <x:c r="K289" s="31" t="str">
        <x:v>https://jlcpcb.com/partdetail/6321105-CS3225X7R476K160NRL/C5440143; https://www.tme.com/Document/15a3409220a9cd1969199d6f4e29e942/CS.pdf</x:v>
      </x:c>
      <x:c r="L289" s="31" t="str">
        <x:v>Four capacitors must jointly retain&gt;=100uF effective at5V including tolerance, temperature, bias and aging. Individual supplier bias envelope not obtained; loop/transient validation still required.; Required effective capacitance not yet verified with supplier bias, temperature, tolerance and aging envelope.</x:v>
      </x:c>
    </x:row>
    <x:row r="290" ht="38" customHeight="1">
      <x:c r="A290" s="12" t="str">
        <x:v>C5300</x:v>
      </x:c>
      <x:c r="B290" s="12" t="str">
        <x:v>10u 25V X7R</x:v>
      </x:c>
      <x:c r="C290" s="12" t="str">
        <x:v>Да</x:v>
      </x:c>
      <x:c r="D290" s="11" t="str">
        <x:v>GMC21X7R106K25NT</x:v>
      </x:c>
      <x:c r="E290" s="12" t="str">
        <x:v>Cal-Chip Electronics</x:v>
      </x:c>
      <x:c r="F290" s="11" t="str">
        <x:v>0805</x:v>
      </x:c>
      <x:c r="G290" s="12" t="str">
        <x:v>SURFACE_MOUNT</x:v>
      </x:c>
      <x:c r="H290" s="12" t="str">
        <x:v>SELECTED_CATALOG_ITEM</x:v>
      </x:c>
      <x:c r="I290" s="12" t="str">
        <x:v>Не выпущено</x:v>
      </x:c>
      <x:c r="J290" s="33" t="str">
        <x:v>capacitance_pf: 10000000; rated_voltage_v: 25; dielectric: X7R; tolerance_pct: 10; temperature_min_c: -55; temperature_max_c: 125; effective_capacitance_min_pf: None; dc_bias_qualification: PENDING_AT_ACTUAL_NODE_VOLTAGE</x:v>
      </x:c>
      <x:c r="K290" s="33" t="str">
        <x:v>https://www.digikey.com/en/products/detail/cal-chip-electronics-inc/GMC21X7R106K25NT/22640097</x:v>
      </x:c>
      <x:c r="L290" s="33" t="str">
        <x:v>Required effective capacitance not yet verified with supplier bias, temperature, tolerance and aging envelope.</x:v>
      </x:c>
    </x:row>
    <x:row r="291" ht="38" customHeight="1">
      <x:c r="A291" s="2" t="str">
        <x:v>C5301</x:v>
      </x:c>
      <x:c r="B291" s="2" t="str">
        <x:v>100n 25V X7R</x:v>
      </x:c>
      <x:c r="C291" s="2" t="str">
        <x:v>Да</x:v>
      </x:c>
      <x:c r="D291" s="8" t="str">
        <x:v>C0805C104K1RACTU</x:v>
      </x:c>
      <x:c r="E291" s="2" t="str">
        <x:v>KEMET</x:v>
      </x:c>
      <x:c r="F291" s="8" t="str">
        <x:v>0805</x:v>
      </x:c>
      <x:c r="G291" s="2" t="str">
        <x:v>SURFACE_MOUNT</x:v>
      </x:c>
      <x:c r="H291" s="2" t="str">
        <x:v>SELECTED_CATALOG_ITEM</x:v>
      </x:c>
      <x:c r="I291" s="2" t="str">
        <x:v>Не выпущено</x:v>
      </x:c>
      <x:c r="J291" s="31" t="str">
        <x:v>capacitance_pf: 100000; rated_voltage_v: 100; dielectric: X7R; tolerance_pct: 10; temperature_min_c: -55; temperature_max_c: 125</x:v>
      </x:c>
      <x:c r="K291" s="31" t="str">
        <x:v>https://www.mouser.com/datasheet/3/72/1/C0805C104K1RACTU.pdf</x:v>
      </x:c>
      <x:c r="L291" s="31" t="str"/>
    </x:row>
    <x:row r="292" ht="38" customHeight="1">
      <x:c r="A292" s="12" t="str">
        <x:v>C5302</x:v>
      </x:c>
      <x:c r="B292" s="12" t="str">
        <x:v>22u 16V X7R</x:v>
      </x:c>
      <x:c r="C292" s="12" t="str">
        <x:v>Да</x:v>
      </x:c>
      <x:c r="D292" s="11" t="str">
        <x:v>C1210C226K4RACTU</x:v>
      </x:c>
      <x:c r="E292" s="12" t="str">
        <x:v>KEMET</x:v>
      </x:c>
      <x:c r="F292" s="11" t="str">
        <x:v>1210</x:v>
      </x:c>
      <x:c r="G292" s="12" t="str">
        <x:v>SURFACE_MOUNT</x:v>
      </x:c>
      <x:c r="H292" s="12" t="str">
        <x:v>SELECTED_CATALOG_ITEM</x:v>
      </x:c>
      <x:c r="I292" s="12" t="str">
        <x:v>Не выпущено</x:v>
      </x:c>
      <x:c r="J292" s="33" t="str">
        <x:v>capacitance_pf: 22000000; rated_voltage_v: 16; dielectric: X7R; tolerance_pct: 10; temperature_min_c: -55; temperature_max_c: 125; effective_capacitance_min_pf: None; dc_bias_qualification: PENDING_AT_ACTUAL_NODE_VOLTAGE</x:v>
      </x:c>
      <x:c r="K292" s="33" t="str">
        <x:v>https://www.digikey.com/en/products/detail/kemet/C1210C226K4RACTU/5023254</x:v>
      </x:c>
      <x:c r="L292" s="33" t="str">
        <x:v>Required effective capacitance not yet verified with supplier bias, temperature, tolerance and aging envelope.</x:v>
      </x:c>
    </x:row>
    <x:row r="293" ht="38" customHeight="1">
      <x:c r="A293" s="2" t="str">
        <x:v>C5303</x:v>
      </x:c>
      <x:c r="B293" s="2" t="str">
        <x:v>3.3n 25V C0G</x:v>
      </x:c>
      <x:c r="C293" s="2" t="str">
        <x:v>Да</x:v>
      </x:c>
      <x:c r="D293" s="8" t="str">
        <x:v>C0805C332J5GACTU</x:v>
      </x:c>
      <x:c r="E293" s="2" t="str">
        <x:v>KEMET</x:v>
      </x:c>
      <x:c r="F293" s="8" t="str">
        <x:v>0805</x:v>
      </x:c>
      <x:c r="G293" s="2" t="str">
        <x:v>SURFACE_MOUNT</x:v>
      </x:c>
      <x:c r="H293" s="2" t="str">
        <x:v>SELECTED_CATALOG_ITEM</x:v>
      </x:c>
      <x:c r="I293" s="2" t="str">
        <x:v>Не выпущено</x:v>
      </x:c>
      <x:c r="J293" s="31" t="str">
        <x:v>capacitance_pf: 3300; rated_voltage_v: 50; dielectric: C0G; tolerance_pct: 5; temperature_min_c: -55; temperature_max_c: 125</x:v>
      </x:c>
      <x:c r="K293" s="31" t="str">
        <x:v>https://www.digikey.com/en/products/detail/kemet/C0805C332J5GACTU/3739599</x:v>
      </x:c>
      <x:c r="L293" s="31" t="str"/>
    </x:row>
    <x:row r="294" ht="38" customHeight="1">
      <x:c r="A294" s="12" t="str">
        <x:v>C5400</x:v>
      </x:c>
      <x:c r="B294" s="12" t="str">
        <x:v>100n 25V X7R</x:v>
      </x:c>
      <x:c r="C294" s="12" t="str">
        <x:v>Да</x:v>
      </x:c>
      <x:c r="D294" s="11" t="str">
        <x:v>C0603C104K5RACTU</x:v>
      </x:c>
      <x:c r="E294" s="12" t="str">
        <x:v>KEMET</x:v>
      </x:c>
      <x:c r="F294" s="11" t="str">
        <x:v>0603</x:v>
      </x:c>
      <x:c r="G294" s="12" t="str">
        <x:v>SURFACE_MOUNT</x:v>
      </x:c>
      <x:c r="H294" s="12" t="str">
        <x:v>SELECTED_CATALOG_ITEM</x:v>
      </x:c>
      <x:c r="I294" s="12" t="str">
        <x:v>Не выпущено</x:v>
      </x:c>
      <x:c r="J294" s="33" t="str">
        <x:v>capacitance_pf: 100000; rated_voltage_v: 50; dielectric: X7R; tolerance_pct: 10; temperature_min_c: -55; temperature_max_c: 125</x:v>
      </x:c>
      <x:c r="K294" s="33" t="str">
        <x:v>https://search.kemet.com/download/specsheet/C0603C104K5RACTU</x:v>
      </x:c>
      <x:c r="L294" s="33" t="str"/>
    </x:row>
    <x:row r="295" ht="38" customHeight="1">
      <x:c r="A295" s="2" t="str">
        <x:v>C5401</x:v>
      </x:c>
      <x:c r="B295" s="2" t="str">
        <x:v>100n 25V X7R</x:v>
      </x:c>
      <x:c r="C295" s="2" t="str">
        <x:v>Да</x:v>
      </x:c>
      <x:c r="D295" s="8" t="str">
        <x:v>C0603C104K5RACTU</x:v>
      </x:c>
      <x:c r="E295" s="2" t="str">
        <x:v>KEMET</x:v>
      </x:c>
      <x:c r="F295" s="8" t="str">
        <x:v>0603</x:v>
      </x:c>
      <x:c r="G295" s="2" t="str">
        <x:v>SURFACE_MOUNT</x:v>
      </x:c>
      <x:c r="H295" s="2" t="str">
        <x:v>SELECTED_CATALOG_ITEM</x:v>
      </x:c>
      <x:c r="I295" s="2" t="str">
        <x:v>Не выпущено</x:v>
      </x:c>
      <x:c r="J295" s="31" t="str">
        <x:v>capacitance_pf: 100000; rated_voltage_v: 50; dielectric: X7R; tolerance_pct: 10; temperature_min_c: -55; temperature_max_c: 125</x:v>
      </x:c>
      <x:c r="K295" s="31" t="str">
        <x:v>https://search.kemet.com/download/specsheet/C0603C104K5RACTU</x:v>
      </x:c>
      <x:c r="L295" s="31" t="str"/>
    </x:row>
    <x:row r="296" ht="38" customHeight="1">
      <x:c r="A296" s="12" t="str">
        <x:v>C5402</x:v>
      </x:c>
      <x:c r="B296" s="12" t="str">
        <x:v>100n 25V X7R</x:v>
      </x:c>
      <x:c r="C296" s="12" t="str">
        <x:v>Да</x:v>
      </x:c>
      <x:c r="D296" s="11" t="str">
        <x:v>C0603C104K5RACTU</x:v>
      </x:c>
      <x:c r="E296" s="12" t="str">
        <x:v>KEMET</x:v>
      </x:c>
      <x:c r="F296" s="11" t="str">
        <x:v>0603</x:v>
      </x:c>
      <x:c r="G296" s="12" t="str">
        <x:v>SURFACE_MOUNT</x:v>
      </x:c>
      <x:c r="H296" s="12" t="str">
        <x:v>SELECTED_CATALOG_ITEM</x:v>
      </x:c>
      <x:c r="I296" s="12" t="str">
        <x:v>Не выпущено</x:v>
      </x:c>
      <x:c r="J296" s="33" t="str">
        <x:v>capacitance_pf: 100000; rated_voltage_v: 50; dielectric: X7R; tolerance_pct: 10; temperature_min_c: -55; temperature_max_c: 125</x:v>
      </x:c>
      <x:c r="K296" s="33" t="str">
        <x:v>https://search.kemet.com/download/specsheet/C0603C104K5RACTU</x:v>
      </x:c>
      <x:c r="L296" s="33" t="str"/>
    </x:row>
    <x:row r="297" ht="38" customHeight="1">
      <x:c r="A297" s="2" t="str">
        <x:v>C5403</x:v>
      </x:c>
      <x:c r="B297" s="2" t="str">
        <x:v>1u 25V X7R</x:v>
      </x:c>
      <x:c r="C297" s="2" t="str">
        <x:v>Да</x:v>
      </x:c>
      <x:c r="D297" s="8" t="str">
        <x:v>C0603C105K3RACTU</x:v>
      </x:c>
      <x:c r="E297" s="2" t="str">
        <x:v>KEMET</x:v>
      </x:c>
      <x:c r="F297" s="8" t="str">
        <x:v>0603</x:v>
      </x:c>
      <x:c r="G297" s="2" t="str">
        <x:v>SURFACE_MOUNT</x:v>
      </x:c>
      <x:c r="H297" s="2" t="str">
        <x:v>SELECTED_CATALOG_ITEM</x:v>
      </x:c>
      <x:c r="I297" s="2" t="str">
        <x:v>Не выпущено</x:v>
      </x:c>
      <x:c r="J297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97" s="31" t="str">
        <x:v>https://search.kemet.com/download/specsheet/C0603C105K3RACTU</x:v>
      </x:c>
      <x:c r="L297" s="31" t="str"/>
    </x:row>
    <x:row r="298" ht="38" customHeight="1">
      <x:c r="A298" s="12" t="str">
        <x:v>C5404</x:v>
      </x:c>
      <x:c r="B298" s="12" t="str">
        <x:v>100n 25V X7R</x:v>
      </x:c>
      <x:c r="C298" s="12" t="str">
        <x:v>Да</x:v>
      </x:c>
      <x:c r="D298" s="11" t="str">
        <x:v>C0603C104K5RACTU</x:v>
      </x:c>
      <x:c r="E298" s="12" t="str">
        <x:v>KEMET</x:v>
      </x:c>
      <x:c r="F298" s="11" t="str">
        <x:v>0603</x:v>
      </x:c>
      <x:c r="G298" s="12" t="str">
        <x:v>SURFACE_MOUNT</x:v>
      </x:c>
      <x:c r="H298" s="12" t="str">
        <x:v>SELECTED_CATALOG_ITEM</x:v>
      </x:c>
      <x:c r="I298" s="12" t="str">
        <x:v>Не выпущено</x:v>
      </x:c>
      <x:c r="J298" s="33" t="str">
        <x:v>capacitance_pf: 100000; rated_voltage_v: 50; dielectric: X7R; tolerance_pct: 10; temperature_min_c: -55; temperature_max_c: 125</x:v>
      </x:c>
      <x:c r="K298" s="33" t="str">
        <x:v>https://search.kemet.com/download/specsheet/C0603C104K5RACTU</x:v>
      </x:c>
      <x:c r="L298" s="33" t="str"/>
    </x:row>
    <x:row r="299" ht="38" customHeight="1">
      <x:c r="A299" s="2" t="str">
        <x:v>C5405</x:v>
      </x:c>
      <x:c r="B299" s="2" t="str">
        <x:v>1u 25V X7R</x:v>
      </x:c>
      <x:c r="C299" s="2" t="str">
        <x:v>Да</x:v>
      </x:c>
      <x:c r="D299" s="8" t="str">
        <x:v>C0603C105K3RACTU</x:v>
      </x:c>
      <x:c r="E299" s="2" t="str">
        <x:v>KEMET</x:v>
      </x:c>
      <x:c r="F299" s="8" t="str">
        <x:v>0603</x:v>
      </x:c>
      <x:c r="G299" s="2" t="str">
        <x:v>SURFACE_MOUNT</x:v>
      </x:c>
      <x:c r="H299" s="2" t="str">
        <x:v>SELECTED_CATALOG_ITEM</x:v>
      </x:c>
      <x:c r="I299" s="2" t="str">
        <x:v>Не выпущено</x:v>
      </x:c>
      <x:c r="J299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299" s="31" t="str">
        <x:v>https://search.kemet.com/download/specsheet/C0603C105K3RACTU</x:v>
      </x:c>
      <x:c r="L299" s="31" t="str"/>
    </x:row>
    <x:row r="300" ht="38" customHeight="1">
      <x:c r="A300" s="12" t="str">
        <x:v>C5406</x:v>
      </x:c>
      <x:c r="B300" s="12" t="str">
        <x:v>100n 25V X7R</x:v>
      </x:c>
      <x:c r="C300" s="12" t="str">
        <x:v>Да</x:v>
      </x:c>
      <x:c r="D300" s="11" t="str">
        <x:v>C0603C104K5RACTU</x:v>
      </x:c>
      <x:c r="E300" s="12" t="str">
        <x:v>KEMET</x:v>
      </x:c>
      <x:c r="F300" s="11" t="str">
        <x:v>0603</x:v>
      </x:c>
      <x:c r="G300" s="12" t="str">
        <x:v>SURFACE_MOUNT</x:v>
      </x:c>
      <x:c r="H300" s="12" t="str">
        <x:v>SELECTED_CATALOG_ITEM</x:v>
      </x:c>
      <x:c r="I300" s="12" t="str">
        <x:v>Не выпущено</x:v>
      </x:c>
      <x:c r="J300" s="33" t="str">
        <x:v>capacitance_pf: 100000; rated_voltage_v: 50; dielectric: X7R; tolerance_pct: 10; temperature_min_c: -55; temperature_max_c: 125</x:v>
      </x:c>
      <x:c r="K300" s="33" t="str">
        <x:v>https://search.kemet.com/download/specsheet/C0603C104K5RACTU</x:v>
      </x:c>
      <x:c r="L300" s="33" t="str"/>
    </x:row>
    <x:row r="301" ht="38" customHeight="1">
      <x:c r="A301" s="2" t="str">
        <x:v>C5407</x:v>
      </x:c>
      <x:c r="B301" s="2" t="str">
        <x:v>1u 25V X7R</x:v>
      </x:c>
      <x:c r="C301" s="2" t="str">
        <x:v>Да</x:v>
      </x:c>
      <x:c r="D301" s="8" t="str">
        <x:v>C0603C105K3RACTU</x:v>
      </x:c>
      <x:c r="E301" s="2" t="str">
        <x:v>KEMET</x:v>
      </x:c>
      <x:c r="F301" s="8" t="str">
        <x:v>0603</x:v>
      </x:c>
      <x:c r="G301" s="2" t="str">
        <x:v>SURFACE_MOUNT</x:v>
      </x:c>
      <x:c r="H301" s="2" t="str">
        <x:v>SELECTED_CATALOG_ITEM</x:v>
      </x:c>
      <x:c r="I301" s="2" t="str">
        <x:v>Не выпущено</x:v>
      </x:c>
      <x:c r="J301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301" s="31" t="str">
        <x:v>https://search.kemet.com/download/specsheet/C0603C105K3RACTU</x:v>
      </x:c>
      <x:c r="L301" s="31" t="str"/>
    </x:row>
    <x:row r="302" ht="38" customHeight="1">
      <x:c r="A302" s="12" t="str">
        <x:v>C5420</x:v>
      </x:c>
      <x:c r="B302" s="12" t="str">
        <x:v>100n 25V X7R</x:v>
      </x:c>
      <x:c r="C302" s="12" t="str">
        <x:v>Да</x:v>
      </x:c>
      <x:c r="D302" s="11" t="str">
        <x:v>C0603C104K5RACTU</x:v>
      </x:c>
      <x:c r="E302" s="12" t="str">
        <x:v>KEMET</x:v>
      </x:c>
      <x:c r="F302" s="11" t="str">
        <x:v>0603</x:v>
      </x:c>
      <x:c r="G302" s="12" t="str">
        <x:v>SURFACE_MOUNT</x:v>
      </x:c>
      <x:c r="H302" s="12" t="str">
        <x:v>SELECTED_CATALOG_ITEM</x:v>
      </x:c>
      <x:c r="I302" s="12" t="str">
        <x:v>Не выпущено</x:v>
      </x:c>
      <x:c r="J302" s="33" t="str">
        <x:v>capacitance_pf: 100000; rated_voltage_v: 50; dielectric: X7R; tolerance_pct: 10; temperature_min_c: -55; temperature_max_c: 125</x:v>
      </x:c>
      <x:c r="K302" s="33" t="str">
        <x:v>https://search.kemet.com/download/specsheet/C0603C104K5RACTU</x:v>
      </x:c>
      <x:c r="L302" s="33" t="str"/>
    </x:row>
    <x:row r="303" ht="38" customHeight="1">
      <x:c r="A303" s="2" t="str">
        <x:v>C5421</x:v>
      </x:c>
      <x:c r="B303" s="2" t="str">
        <x:v>100n 25V X7R</x:v>
      </x:c>
      <x:c r="C303" s="2" t="str">
        <x:v>Да</x:v>
      </x:c>
      <x:c r="D303" s="8" t="str">
        <x:v>C0603C104K5RACTU</x:v>
      </x:c>
      <x:c r="E303" s="2" t="str">
        <x:v>KEMET</x:v>
      </x:c>
      <x:c r="F303" s="8" t="str">
        <x:v>0603</x:v>
      </x:c>
      <x:c r="G303" s="2" t="str">
        <x:v>SURFACE_MOUNT</x:v>
      </x:c>
      <x:c r="H303" s="2" t="str">
        <x:v>SELECTED_CATALOG_ITEM</x:v>
      </x:c>
      <x:c r="I303" s="2" t="str">
        <x:v>Не выпущено</x:v>
      </x:c>
      <x:c r="J303" s="31" t="str">
        <x:v>capacitance_pf: 100000; rated_voltage_v: 50; dielectric: X7R; tolerance_pct: 10; temperature_min_c: -55; temperature_max_c: 125</x:v>
      </x:c>
      <x:c r="K303" s="31" t="str">
        <x:v>https://search.kemet.com/download/specsheet/C0603C104K5RACTU</x:v>
      </x:c>
      <x:c r="L303" s="31" t="str"/>
    </x:row>
    <x:row r="304" ht="38" customHeight="1">
      <x:c r="A304" s="12" t="str">
        <x:v>C5422</x:v>
      </x:c>
      <x:c r="B304" s="12" t="str">
        <x:v>100n 25V X7R</x:v>
      </x:c>
      <x:c r="C304" s="12" t="str">
        <x:v>Да</x:v>
      </x:c>
      <x:c r="D304" s="11" t="str">
        <x:v>C0603C104K5RACTU</x:v>
      </x:c>
      <x:c r="E304" s="12" t="str">
        <x:v>KEMET</x:v>
      </x:c>
      <x:c r="F304" s="11" t="str">
        <x:v>0603</x:v>
      </x:c>
      <x:c r="G304" s="12" t="str">
        <x:v>SURFACE_MOUNT</x:v>
      </x:c>
      <x:c r="H304" s="12" t="str">
        <x:v>SELECTED_CATALOG_ITEM</x:v>
      </x:c>
      <x:c r="I304" s="12" t="str">
        <x:v>Не выпущено</x:v>
      </x:c>
      <x:c r="J304" s="33" t="str">
        <x:v>capacitance_pf: 100000; rated_voltage_v: 50; dielectric: X7R; tolerance_pct: 10; temperature_min_c: -55; temperature_max_c: 125</x:v>
      </x:c>
      <x:c r="K304" s="33" t="str">
        <x:v>https://search.kemet.com/download/specsheet/C0603C104K5RACTU</x:v>
      </x:c>
      <x:c r="L304" s="33" t="str"/>
    </x:row>
    <x:row r="305" ht="38" customHeight="1">
      <x:c r="A305" s="2" t="str">
        <x:v>C5440</x:v>
      </x:c>
      <x:c r="B305" s="2" t="str">
        <x:v>100n 25V X7R</x:v>
      </x:c>
      <x:c r="C305" s="2" t="str">
        <x:v>Да</x:v>
      </x:c>
      <x:c r="D305" s="8" t="str">
        <x:v>C0603C104K5RACTU</x:v>
      </x:c>
      <x:c r="E305" s="2" t="str">
        <x:v>KEMET</x:v>
      </x:c>
      <x:c r="F305" s="8" t="str">
        <x:v>0603</x:v>
      </x:c>
      <x:c r="G305" s="2" t="str">
        <x:v>SURFACE_MOUNT</x:v>
      </x:c>
      <x:c r="H305" s="2" t="str">
        <x:v>SELECTED_CATALOG_ITEM</x:v>
      </x:c>
      <x:c r="I305" s="2" t="str">
        <x:v>Не выпущено</x:v>
      </x:c>
      <x:c r="J305" s="31" t="str">
        <x:v>capacitance_pf: 100000; rated_voltage_v: 50; dielectric: X7R; tolerance_pct: 10; temperature_min_c: -55; temperature_max_c: 125</x:v>
      </x:c>
      <x:c r="K305" s="31" t="str">
        <x:v>https://search.kemet.com/download/specsheet/C0603C104K5RACTU</x:v>
      </x:c>
      <x:c r="L305" s="31" t="str"/>
    </x:row>
    <x:row r="306" ht="38" customHeight="1">
      <x:c r="A306" s="12" t="str">
        <x:v>C5441</x:v>
      </x:c>
      <x:c r="B306" s="12" t="str">
        <x:v>100n 25V X7R</x:v>
      </x:c>
      <x:c r="C306" s="12" t="str">
        <x:v>Да</x:v>
      </x:c>
      <x:c r="D306" s="11" t="str">
        <x:v>C0603C104K5RACTU</x:v>
      </x:c>
      <x:c r="E306" s="12" t="str">
        <x:v>KEMET</x:v>
      </x:c>
      <x:c r="F306" s="11" t="str">
        <x:v>0603</x:v>
      </x:c>
      <x:c r="G306" s="12" t="str">
        <x:v>SURFACE_MOUNT</x:v>
      </x:c>
      <x:c r="H306" s="12" t="str">
        <x:v>SELECTED_CATALOG_ITEM</x:v>
      </x:c>
      <x:c r="I306" s="12" t="str">
        <x:v>Не выпущено</x:v>
      </x:c>
      <x:c r="J306" s="33" t="str">
        <x:v>capacitance_pf: 100000; rated_voltage_v: 50; dielectric: X7R; tolerance_pct: 10; temperature_min_c: -55; temperature_max_c: 125</x:v>
      </x:c>
      <x:c r="K306" s="33" t="str">
        <x:v>https://search.kemet.com/download/specsheet/C0603C104K5RACTU</x:v>
      </x:c>
      <x:c r="L306" s="33" t="str"/>
    </x:row>
    <x:row r="307" ht="38" customHeight="1">
      <x:c r="A307" s="2" t="str">
        <x:v>C5442</x:v>
      </x:c>
      <x:c r="B307" s="2" t="str">
        <x:v>100n 25V X7R</x:v>
      </x:c>
      <x:c r="C307" s="2" t="str">
        <x:v>Да</x:v>
      </x:c>
      <x:c r="D307" s="8" t="str">
        <x:v>C0603C104K5RACTU</x:v>
      </x:c>
      <x:c r="E307" s="2" t="str">
        <x:v>KEMET</x:v>
      </x:c>
      <x:c r="F307" s="8" t="str">
        <x:v>0603</x:v>
      </x:c>
      <x:c r="G307" s="2" t="str">
        <x:v>SURFACE_MOUNT</x:v>
      </x:c>
      <x:c r="H307" s="2" t="str">
        <x:v>SELECTED_CATALOG_ITEM</x:v>
      </x:c>
      <x:c r="I307" s="2" t="str">
        <x:v>Не выпущено</x:v>
      </x:c>
      <x:c r="J307" s="31" t="str">
        <x:v>capacitance_pf: 100000; rated_voltage_v: 50; dielectric: X7R; tolerance_pct: 10; temperature_min_c: -55; temperature_max_c: 125</x:v>
      </x:c>
      <x:c r="K307" s="31" t="str">
        <x:v>https://search.kemet.com/download/specsheet/C0603C104K5RACTU</x:v>
      </x:c>
      <x:c r="L307" s="31" t="str"/>
    </x:row>
    <x:row r="308" ht="38" customHeight="1">
      <x:c r="A308" s="12" t="str">
        <x:v>C5460</x:v>
      </x:c>
      <x:c r="B308" s="12" t="str">
        <x:v>100n 25V X7R</x:v>
      </x:c>
      <x:c r="C308" s="12" t="str">
        <x:v>Да</x:v>
      </x:c>
      <x:c r="D308" s="11" t="str">
        <x:v>C0603C104K5RACTU</x:v>
      </x:c>
      <x:c r="E308" s="12" t="str">
        <x:v>KEMET</x:v>
      </x:c>
      <x:c r="F308" s="11" t="str">
        <x:v>0603</x:v>
      </x:c>
      <x:c r="G308" s="12" t="str">
        <x:v>SURFACE_MOUNT</x:v>
      </x:c>
      <x:c r="H308" s="12" t="str">
        <x:v>SELECTED_CATALOG_ITEM</x:v>
      </x:c>
      <x:c r="I308" s="12" t="str">
        <x:v>Не выпущено</x:v>
      </x:c>
      <x:c r="J308" s="33" t="str">
        <x:v>capacitance_pf: 100000; rated_voltage_v: 50; dielectric: X7R; tolerance_pct: 10; temperature_min_c: -55; temperature_max_c: 125</x:v>
      </x:c>
      <x:c r="K308" s="33" t="str">
        <x:v>https://search.kemet.com/download/specsheet/C0603C104K5RACTU</x:v>
      </x:c>
      <x:c r="L308" s="33" t="str"/>
    </x:row>
    <x:row r="309" ht="38" customHeight="1">
      <x:c r="A309" s="2" t="str">
        <x:v>C5461</x:v>
      </x:c>
      <x:c r="B309" s="2" t="str">
        <x:v>100n 25V X7R</x:v>
      </x:c>
      <x:c r="C309" s="2" t="str">
        <x:v>Да</x:v>
      </x:c>
      <x:c r="D309" s="8" t="str">
        <x:v>C0603C104K5RACTU</x:v>
      </x:c>
      <x:c r="E309" s="2" t="str">
        <x:v>KEMET</x:v>
      </x:c>
      <x:c r="F309" s="8" t="str">
        <x:v>0603</x:v>
      </x:c>
      <x:c r="G309" s="2" t="str">
        <x:v>SURFACE_MOUNT</x:v>
      </x:c>
      <x:c r="H309" s="2" t="str">
        <x:v>SELECTED_CATALOG_ITEM</x:v>
      </x:c>
      <x:c r="I309" s="2" t="str">
        <x:v>Не выпущено</x:v>
      </x:c>
      <x:c r="J309" s="31" t="str">
        <x:v>capacitance_pf: 100000; rated_voltage_v: 50; dielectric: X7R; tolerance_pct: 10; temperature_min_c: -55; temperature_max_c: 125</x:v>
      </x:c>
      <x:c r="K309" s="31" t="str">
        <x:v>https://search.kemet.com/download/specsheet/C0603C104K5RACTU</x:v>
      </x:c>
      <x:c r="L309" s="31" t="str"/>
    </x:row>
    <x:row r="310" ht="38" customHeight="1">
      <x:c r="A310" s="12" t="str">
        <x:v>C5462</x:v>
      </x:c>
      <x:c r="B310" s="12" t="str">
        <x:v>100n 25V X7R</x:v>
      </x:c>
      <x:c r="C310" s="12" t="str">
        <x:v>Да</x:v>
      </x:c>
      <x:c r="D310" s="11" t="str">
        <x:v>C0603C104K5RACTU</x:v>
      </x:c>
      <x:c r="E310" s="12" t="str">
        <x:v>KEMET</x:v>
      </x:c>
      <x:c r="F310" s="11" t="str">
        <x:v>0603</x:v>
      </x:c>
      <x:c r="G310" s="12" t="str">
        <x:v>SURFACE_MOUNT</x:v>
      </x:c>
      <x:c r="H310" s="12" t="str">
        <x:v>SELECTED_CATALOG_ITEM</x:v>
      </x:c>
      <x:c r="I310" s="12" t="str">
        <x:v>Не выпущено</x:v>
      </x:c>
      <x:c r="J310" s="33" t="str">
        <x:v>capacitance_pf: 100000; rated_voltage_v: 50; dielectric: X7R; tolerance_pct: 10; temperature_min_c: -55; temperature_max_c: 125</x:v>
      </x:c>
      <x:c r="K310" s="33" t="str">
        <x:v>https://search.kemet.com/download/specsheet/C0603C104K5RACTU</x:v>
      </x:c>
      <x:c r="L310" s="33" t="str"/>
    </x:row>
    <x:row r="311" ht="38" customHeight="1">
      <x:c r="A311" s="2" t="str">
        <x:v>C5480</x:v>
      </x:c>
      <x:c r="B311" s="2" t="str">
        <x:v>100n 25V X7R</x:v>
      </x:c>
      <x:c r="C311" s="2" t="str">
        <x:v>Да</x:v>
      </x:c>
      <x:c r="D311" s="8" t="str">
        <x:v>C0603C104K5RACTU</x:v>
      </x:c>
      <x:c r="E311" s="2" t="str">
        <x:v>KEMET</x:v>
      </x:c>
      <x:c r="F311" s="8" t="str">
        <x:v>0603</x:v>
      </x:c>
      <x:c r="G311" s="2" t="str">
        <x:v>SURFACE_MOUNT</x:v>
      </x:c>
      <x:c r="H311" s="2" t="str">
        <x:v>SELECTED_CATALOG_ITEM</x:v>
      </x:c>
      <x:c r="I311" s="2" t="str">
        <x:v>Не выпущено</x:v>
      </x:c>
      <x:c r="J311" s="31" t="str">
        <x:v>capacitance_pf: 100000; rated_voltage_v: 50; dielectric: X7R; tolerance_pct: 10; temperature_min_c: -55; temperature_max_c: 125</x:v>
      </x:c>
      <x:c r="K311" s="31" t="str">
        <x:v>https://search.kemet.com/download/specsheet/C0603C104K5RACTU</x:v>
      </x:c>
      <x:c r="L311" s="31" t="str"/>
    </x:row>
    <x:row r="312" ht="38" customHeight="1">
      <x:c r="A312" s="12" t="str">
        <x:v>C5481</x:v>
      </x:c>
      <x:c r="B312" s="12" t="str">
        <x:v>100n 25V X7R</x:v>
      </x:c>
      <x:c r="C312" s="12" t="str">
        <x:v>Да</x:v>
      </x:c>
      <x:c r="D312" s="11" t="str">
        <x:v>C0603C104K5RACTU</x:v>
      </x:c>
      <x:c r="E312" s="12" t="str">
        <x:v>KEMET</x:v>
      </x:c>
      <x:c r="F312" s="11" t="str">
        <x:v>0603</x:v>
      </x:c>
      <x:c r="G312" s="12" t="str">
        <x:v>SURFACE_MOUNT</x:v>
      </x:c>
      <x:c r="H312" s="12" t="str">
        <x:v>SELECTED_CATALOG_ITEM</x:v>
      </x:c>
      <x:c r="I312" s="12" t="str">
        <x:v>Не выпущено</x:v>
      </x:c>
      <x:c r="J312" s="33" t="str">
        <x:v>capacitance_pf: 100000; rated_voltage_v: 50; dielectric: X7R; tolerance_pct: 10; temperature_min_c: -55; temperature_max_c: 125</x:v>
      </x:c>
      <x:c r="K312" s="33" t="str">
        <x:v>https://search.kemet.com/download/specsheet/C0603C104K5RACTU</x:v>
      </x:c>
      <x:c r="L312" s="33" t="str"/>
    </x:row>
    <x:row r="313" ht="38" customHeight="1">
      <x:c r="A313" s="2" t="str">
        <x:v>C5482</x:v>
      </x:c>
      <x:c r="B313" s="2" t="str">
        <x:v>100n 25V X7R</x:v>
      </x:c>
      <x:c r="C313" s="2" t="str">
        <x:v>Да</x:v>
      </x:c>
      <x:c r="D313" s="8" t="str">
        <x:v>C0603C104K5RACTU</x:v>
      </x:c>
      <x:c r="E313" s="2" t="str">
        <x:v>KEMET</x:v>
      </x:c>
      <x:c r="F313" s="8" t="str">
        <x:v>0603</x:v>
      </x:c>
      <x:c r="G313" s="2" t="str">
        <x:v>SURFACE_MOUNT</x:v>
      </x:c>
      <x:c r="H313" s="2" t="str">
        <x:v>SELECTED_CATALOG_ITEM</x:v>
      </x:c>
      <x:c r="I313" s="2" t="str">
        <x:v>Не выпущено</x:v>
      </x:c>
      <x:c r="J313" s="31" t="str">
        <x:v>capacitance_pf: 100000; rated_voltage_v: 50; dielectric: X7R; tolerance_pct: 10; temperature_min_c: -55; temperature_max_c: 125</x:v>
      </x:c>
      <x:c r="K313" s="31" t="str">
        <x:v>https://search.kemet.com/download/specsheet/C0603C104K5RACTU</x:v>
      </x:c>
      <x:c r="L313" s="31" t="str"/>
    </x:row>
    <x:row r="314" ht="38" customHeight="1">
      <x:c r="A314" s="12" t="str">
        <x:v>C5500</x:v>
      </x:c>
      <x:c r="B314" s="12" t="str">
        <x:v>100n 25V X7R</x:v>
      </x:c>
      <x:c r="C314" s="12" t="str">
        <x:v>Да</x:v>
      </x:c>
      <x:c r="D314" s="11" t="str">
        <x:v>C0603C104K5RACTU</x:v>
      </x:c>
      <x:c r="E314" s="12" t="str">
        <x:v>KEMET</x:v>
      </x:c>
      <x:c r="F314" s="11" t="str">
        <x:v>0603</x:v>
      </x:c>
      <x:c r="G314" s="12" t="str">
        <x:v>SURFACE_MOUNT</x:v>
      </x:c>
      <x:c r="H314" s="12" t="str">
        <x:v>SELECTED_CATALOG_ITEM</x:v>
      </x:c>
      <x:c r="I314" s="12" t="str">
        <x:v>Не выпущено</x:v>
      </x:c>
      <x:c r="J314" s="33" t="str">
        <x:v>capacitance_pf: 100000; rated_voltage_v: 50; dielectric: X7R; tolerance_pct: 10; temperature_min_c: -55; temperature_max_c: 125</x:v>
      </x:c>
      <x:c r="K314" s="33" t="str">
        <x:v>https://search.kemet.com/download/specsheet/C0603C104K5RACTU</x:v>
      </x:c>
      <x:c r="L314" s="33" t="str"/>
    </x:row>
    <x:row r="315" ht="38" customHeight="1">
      <x:c r="A315" s="2" t="str">
        <x:v>C5501</x:v>
      </x:c>
      <x:c r="B315" s="2" t="str">
        <x:v>100n 25V X7R</x:v>
      </x:c>
      <x:c r="C315" s="2" t="str">
        <x:v>Да</x:v>
      </x:c>
      <x:c r="D315" s="8" t="str">
        <x:v>C0603C104K5RACTU</x:v>
      </x:c>
      <x:c r="E315" s="2" t="str">
        <x:v>KEMET</x:v>
      </x:c>
      <x:c r="F315" s="8" t="str">
        <x:v>0603</x:v>
      </x:c>
      <x:c r="G315" s="2" t="str">
        <x:v>SURFACE_MOUNT</x:v>
      </x:c>
      <x:c r="H315" s="2" t="str">
        <x:v>SELECTED_CATALOG_ITEM</x:v>
      </x:c>
      <x:c r="I315" s="2" t="str">
        <x:v>Не выпущено</x:v>
      </x:c>
      <x:c r="J315" s="31" t="str">
        <x:v>capacitance_pf: 100000; rated_voltage_v: 50; dielectric: X7R; tolerance_pct: 10; temperature_min_c: -55; temperature_max_c: 125</x:v>
      </x:c>
      <x:c r="K315" s="31" t="str">
        <x:v>https://search.kemet.com/download/specsheet/C0603C104K5RACTU</x:v>
      </x:c>
      <x:c r="L315" s="31" t="str"/>
    </x:row>
    <x:row r="316" ht="38" customHeight="1">
      <x:c r="A316" s="12" t="str">
        <x:v>C5502</x:v>
      </x:c>
      <x:c r="B316" s="12" t="str">
        <x:v>100n 25V X7R</x:v>
      </x:c>
      <x:c r="C316" s="12" t="str">
        <x:v>Да</x:v>
      </x:c>
      <x:c r="D316" s="11" t="str">
        <x:v>C0603C104K5RACTU</x:v>
      </x:c>
      <x:c r="E316" s="12" t="str">
        <x:v>KEMET</x:v>
      </x:c>
      <x:c r="F316" s="11" t="str">
        <x:v>0603</x:v>
      </x:c>
      <x:c r="G316" s="12" t="str">
        <x:v>SURFACE_MOUNT</x:v>
      </x:c>
      <x:c r="H316" s="12" t="str">
        <x:v>SELECTED_CATALOG_ITEM</x:v>
      </x:c>
      <x:c r="I316" s="12" t="str">
        <x:v>Не выпущено</x:v>
      </x:c>
      <x:c r="J316" s="33" t="str">
        <x:v>capacitance_pf: 100000; rated_voltage_v: 50; dielectric: X7R; tolerance_pct: 10; temperature_min_c: -55; temperature_max_c: 125</x:v>
      </x:c>
      <x:c r="K316" s="33" t="str">
        <x:v>https://search.kemet.com/download/specsheet/C0603C104K5RACTU</x:v>
      </x:c>
      <x:c r="L316" s="33" t="str"/>
    </x:row>
    <x:row r="317" ht="38" customHeight="1">
      <x:c r="A317" s="2" t="str">
        <x:v>C5520</x:v>
      </x:c>
      <x:c r="B317" s="2" t="str">
        <x:v>100n 25V X7R</x:v>
      </x:c>
      <x:c r="C317" s="2" t="str">
        <x:v>Да</x:v>
      </x:c>
      <x:c r="D317" s="8" t="str">
        <x:v>C0603C104K5RACTU</x:v>
      </x:c>
      <x:c r="E317" s="2" t="str">
        <x:v>KEMET</x:v>
      </x:c>
      <x:c r="F317" s="8" t="str">
        <x:v>0603</x:v>
      </x:c>
      <x:c r="G317" s="2" t="str">
        <x:v>SURFACE_MOUNT</x:v>
      </x:c>
      <x:c r="H317" s="2" t="str">
        <x:v>SELECTED_CATALOG_ITEM</x:v>
      </x:c>
      <x:c r="I317" s="2" t="str">
        <x:v>Не выпущено</x:v>
      </x:c>
      <x:c r="J317" s="31" t="str">
        <x:v>capacitance_pf: 100000; rated_voltage_v: 50; dielectric: X7R; tolerance_pct: 10; temperature_min_c: -55; temperature_max_c: 125</x:v>
      </x:c>
      <x:c r="K317" s="31" t="str">
        <x:v>https://search.kemet.com/download/specsheet/C0603C104K5RACTU</x:v>
      </x:c>
      <x:c r="L317" s="31" t="str"/>
    </x:row>
    <x:row r="318" ht="38" customHeight="1">
      <x:c r="A318" s="12" t="str">
        <x:v>C5521</x:v>
      </x:c>
      <x:c r="B318" s="12" t="str">
        <x:v>100n 25V X7R</x:v>
      </x:c>
      <x:c r="C318" s="12" t="str">
        <x:v>Да</x:v>
      </x:c>
      <x:c r="D318" s="11" t="str">
        <x:v>C0603C104K5RACTU</x:v>
      </x:c>
      <x:c r="E318" s="12" t="str">
        <x:v>KEMET</x:v>
      </x:c>
      <x:c r="F318" s="11" t="str">
        <x:v>0603</x:v>
      </x:c>
      <x:c r="G318" s="12" t="str">
        <x:v>SURFACE_MOUNT</x:v>
      </x:c>
      <x:c r="H318" s="12" t="str">
        <x:v>SELECTED_CATALOG_ITEM</x:v>
      </x:c>
      <x:c r="I318" s="12" t="str">
        <x:v>Не выпущено</x:v>
      </x:c>
      <x:c r="J318" s="33" t="str">
        <x:v>capacitance_pf: 100000; rated_voltage_v: 50; dielectric: X7R; tolerance_pct: 10; temperature_min_c: -55; temperature_max_c: 125</x:v>
      </x:c>
      <x:c r="K318" s="33" t="str">
        <x:v>https://search.kemet.com/download/specsheet/C0603C104K5RACTU</x:v>
      </x:c>
      <x:c r="L318" s="33" t="str"/>
    </x:row>
    <x:row r="319" ht="38" customHeight="1">
      <x:c r="A319" s="2" t="str">
        <x:v>C5522</x:v>
      </x:c>
      <x:c r="B319" s="2" t="str">
        <x:v>100n 25V X7R</x:v>
      </x:c>
      <x:c r="C319" s="2" t="str">
        <x:v>Да</x:v>
      </x:c>
      <x:c r="D319" s="8" t="str">
        <x:v>C0603C104K5RACTU</x:v>
      </x:c>
      <x:c r="E319" s="2" t="str">
        <x:v>KEMET</x:v>
      </x:c>
      <x:c r="F319" s="8" t="str">
        <x:v>0603</x:v>
      </x:c>
      <x:c r="G319" s="2" t="str">
        <x:v>SURFACE_MOUNT</x:v>
      </x:c>
      <x:c r="H319" s="2" t="str">
        <x:v>SELECTED_CATALOG_ITEM</x:v>
      </x:c>
      <x:c r="I319" s="2" t="str">
        <x:v>Не выпущено</x:v>
      </x:c>
      <x:c r="J319" s="31" t="str">
        <x:v>capacitance_pf: 100000; rated_voltage_v: 50; dielectric: X7R; tolerance_pct: 10; temperature_min_c: -55; temperature_max_c: 125</x:v>
      </x:c>
      <x:c r="K319" s="31" t="str">
        <x:v>https://search.kemet.com/download/specsheet/C0603C104K5RACTU</x:v>
      </x:c>
      <x:c r="L319" s="31" t="str"/>
    </x:row>
    <x:row r="320" ht="38" customHeight="1">
      <x:c r="A320" s="12" t="str">
        <x:v>C5600</x:v>
      </x:c>
      <x:c r="B320" s="12" t="str">
        <x:v>1u</x:v>
      </x:c>
      <x:c r="C320" s="12" t="str">
        <x:v>Да</x:v>
      </x:c>
      <x:c r="D320" s="11" t="str">
        <x:v>C0603C105K3RACTU</x:v>
      </x:c>
      <x:c r="E320" s="12" t="str">
        <x:v>KEMET</x:v>
      </x:c>
      <x:c r="F320" s="11" t="str">
        <x:v>0603</x:v>
      </x:c>
      <x:c r="G320" s="12" t="str">
        <x:v>SURFACE_MOUNT</x:v>
      </x:c>
      <x:c r="H320" s="12" t="str">
        <x:v>SELECTED_CATALOG_ITEM</x:v>
      </x:c>
      <x:c r="I320" s="12" t="str">
        <x:v>Не выпущено</x:v>
      </x:c>
      <x:c r="J320" s="33" t="str">
        <x:v>capacitance_pf: 1000000; rated_voltage_v: 25; dielectric: X7R; tolerance_pct: 10; temperature_min_c: -55; temperature_max_c: 125; effective_capacitance_min_pf: None; dc_bias_qualification: PENDING_AT_ACTUAL_NODE_VOLTAGE</x:v>
      </x:c>
      <x:c r="K320" s="33" t="str">
        <x:v>https://search.kemet.com/download/specsheet/C0603C105K3RACTU</x:v>
      </x:c>
      <x:c r="L320" s="33" t="str"/>
    </x:row>
    <x:row r="321" ht="38" customHeight="1">
      <x:c r="A321" s="2" t="str">
        <x:v>C5601</x:v>
      </x:c>
      <x:c r="B321" s="2" t="str">
        <x:v>100n</x:v>
      </x:c>
      <x:c r="C321" s="2" t="str">
        <x:v>Да</x:v>
      </x:c>
      <x:c r="D321" s="8" t="str">
        <x:v>C0603C104K5RACTU</x:v>
      </x:c>
      <x:c r="E321" s="2" t="str">
        <x:v>KEMET</x:v>
      </x:c>
      <x:c r="F321" s="8" t="str">
        <x:v>0603</x:v>
      </x:c>
      <x:c r="G321" s="2" t="str">
        <x:v>SURFACE_MOUNT</x:v>
      </x:c>
      <x:c r="H321" s="2" t="str">
        <x:v>SELECTED_CATALOG_ITEM</x:v>
      </x:c>
      <x:c r="I321" s="2" t="str">
        <x:v>Не выпущено</x:v>
      </x:c>
      <x:c r="J321" s="31" t="str">
        <x:v>capacitance_pf: 100000; rated_voltage_v: 50; dielectric: X7R; tolerance_pct: 10; temperature_min_c: -55; temperature_max_c: 125</x:v>
      </x:c>
      <x:c r="K321" s="31" t="str">
        <x:v>https://search.kemet.com/download/specsheet/C0603C104K5RACTU</x:v>
      </x:c>
      <x:c r="L321" s="31" t="str"/>
    </x:row>
    <x:row r="322" ht="38" customHeight="1">
      <x:c r="A322" s="12" t="str">
        <x:v>C5602</x:v>
      </x:c>
      <x:c r="B322" s="12" t="str">
        <x:v>100n</x:v>
      </x:c>
      <x:c r="C322" s="12" t="str">
        <x:v>Да</x:v>
      </x:c>
      <x:c r="D322" s="11" t="str">
        <x:v>C0603C104K5RACTU</x:v>
      </x:c>
      <x:c r="E322" s="12" t="str">
        <x:v>KEMET</x:v>
      </x:c>
      <x:c r="F322" s="11" t="str">
        <x:v>0603</x:v>
      </x:c>
      <x:c r="G322" s="12" t="str">
        <x:v>SURFACE_MOUNT</x:v>
      </x:c>
      <x:c r="H322" s="12" t="str">
        <x:v>SELECTED_CATALOG_ITEM</x:v>
      </x:c>
      <x:c r="I322" s="12" t="str">
        <x:v>Не выпущено</x:v>
      </x:c>
      <x:c r="J322" s="33" t="str">
        <x:v>capacitance_pf: 100000; rated_voltage_v: 50; dielectric: X7R; tolerance_pct: 10; temperature_min_c: -55; temperature_max_c: 125</x:v>
      </x:c>
      <x:c r="K322" s="33" t="str">
        <x:v>https://search.kemet.com/download/specsheet/C0603C104K5RACTU</x:v>
      </x:c>
      <x:c r="L322" s="33" t="str"/>
    </x:row>
    <x:row r="323" ht="38" customHeight="1">
      <x:c r="A323" s="2" t="str">
        <x:v>C5603</x:v>
      </x:c>
      <x:c r="B323" s="2" t="str">
        <x:v>33n</x:v>
      </x:c>
      <x:c r="C323" s="2" t="str">
        <x:v>Да</x:v>
      </x:c>
      <x:c r="D323" s="8" t="str">
        <x:v>C0603C333K5RACTU</x:v>
      </x:c>
      <x:c r="E323" s="2" t="str">
        <x:v>KEMET</x:v>
      </x:c>
      <x:c r="F323" s="8" t="str">
        <x:v>0603</x:v>
      </x:c>
      <x:c r="G323" s="2" t="str">
        <x:v>SURFACE_MOUNT</x:v>
      </x:c>
      <x:c r="H323" s="2" t="str">
        <x:v>SELECTED_CATALOG_ITEM</x:v>
      </x:c>
      <x:c r="I323" s="2" t="str">
        <x:v>Не выпущено</x:v>
      </x:c>
      <x:c r="J323" s="31" t="str">
        <x:v>capacitance_pf: 33000; rated_voltage_v: 50; dielectric: X7R; tolerance_pct: 10; temperature_min_c: -55; temperature_max_c: 125</x:v>
      </x:c>
      <x:c r="K323" s="31" t="str">
        <x:v>https://www.digikey.com/en/products/detail/kemet/C0603C333K5RACTU/2200581</x:v>
      </x:c>
      <x:c r="L323" s="31" t="str"/>
    </x:row>
    <x:row r="324" ht="38" customHeight="1">
      <x:c r="A324" s="12" t="str">
        <x:v>C5605</x:v>
      </x:c>
      <x:c r="B324" s="12" t="str">
        <x:v>100n</x:v>
      </x:c>
      <x:c r="C324" s="12" t="str">
        <x:v>Да</x:v>
      </x:c>
      <x:c r="D324" s="11" t="str">
        <x:v>C0603C104K5RACTU</x:v>
      </x:c>
      <x:c r="E324" s="12" t="str">
        <x:v>KEMET</x:v>
      </x:c>
      <x:c r="F324" s="11" t="str">
        <x:v>0603</x:v>
      </x:c>
      <x:c r="G324" s="12" t="str">
        <x:v>SURFACE_MOUNT</x:v>
      </x:c>
      <x:c r="H324" s="12" t="str">
        <x:v>SELECTED_CATALOG_ITEM</x:v>
      </x:c>
      <x:c r="I324" s="12" t="str">
        <x:v>Не выпущено</x:v>
      </x:c>
      <x:c r="J324" s="33" t="str">
        <x:v>capacitance_pf: 100000; rated_voltage_v: 50; dielectric: X7R; tolerance_pct: 10; temperature_min_c: -55; temperature_max_c: 125</x:v>
      </x:c>
      <x:c r="K324" s="33" t="str">
        <x:v>https://search.kemet.com/download/specsheet/C0603C104K5RACTU</x:v>
      </x:c>
      <x:c r="L324" s="33" t="str"/>
    </x:row>
    <x:row r="325" ht="38" customHeight="1">
      <x:c r="A325" s="2" t="str">
        <x:v>C5607</x:v>
      </x:c>
      <x:c r="B325" s="2" t="str">
        <x:v>1u</x:v>
      </x:c>
      <x:c r="C325" s="2" t="str">
        <x:v>Да</x:v>
      </x:c>
      <x:c r="D325" s="8" t="str">
        <x:v>C0603C105K3RACTU</x:v>
      </x:c>
      <x:c r="E325" s="2" t="str">
        <x:v>KEMET</x:v>
      </x:c>
      <x:c r="F325" s="8" t="str">
        <x:v>0603</x:v>
      </x:c>
      <x:c r="G325" s="2" t="str">
        <x:v>SURFACE_MOUNT</x:v>
      </x:c>
      <x:c r="H325" s="2" t="str">
        <x:v>SELECTED_CATALOG_ITEM</x:v>
      </x:c>
      <x:c r="I325" s="2" t="str">
        <x:v>Не выпущено</x:v>
      </x:c>
      <x:c r="J325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325" s="31" t="str">
        <x:v>https://search.kemet.com/download/specsheet/C0603C105K3RACTU</x:v>
      </x:c>
      <x:c r="L325" s="31" t="str"/>
    </x:row>
    <x:row r="326" ht="38" customHeight="1">
      <x:c r="A326" s="12" t="str">
        <x:v>C5608</x:v>
      </x:c>
      <x:c r="B326" s="12" t="str">
        <x:v>100n</x:v>
      </x:c>
      <x:c r="C326" s="12" t="str">
        <x:v>Да</x:v>
      </x:c>
      <x:c r="D326" s="11" t="str">
        <x:v>C0603C104K5RACTU</x:v>
      </x:c>
      <x:c r="E326" s="12" t="str">
        <x:v>KEMET</x:v>
      </x:c>
      <x:c r="F326" s="11" t="str">
        <x:v>0603</x:v>
      </x:c>
      <x:c r="G326" s="12" t="str">
        <x:v>SURFACE_MOUNT</x:v>
      </x:c>
      <x:c r="H326" s="12" t="str">
        <x:v>SELECTED_CATALOG_ITEM</x:v>
      </x:c>
      <x:c r="I326" s="12" t="str">
        <x:v>Не выпущено</x:v>
      </x:c>
      <x:c r="J326" s="33" t="str">
        <x:v>capacitance_pf: 100000; rated_voltage_v: 50; dielectric: X7R; tolerance_pct: 10; temperature_min_c: -55; temperature_max_c: 125</x:v>
      </x:c>
      <x:c r="K326" s="33" t="str">
        <x:v>https://search.kemet.com/download/specsheet/C0603C104K5RACTU</x:v>
      </x:c>
      <x:c r="L326" s="33" t="str"/>
    </x:row>
    <x:row r="327" ht="38" customHeight="1">
      <x:c r="A327" s="2" t="str">
        <x:v>C5609</x:v>
      </x:c>
      <x:c r="B327" s="2" t="str">
        <x:v>1u</x:v>
      </x:c>
      <x:c r="C327" s="2" t="str">
        <x:v>Да</x:v>
      </x:c>
      <x:c r="D327" s="8" t="str">
        <x:v>C0603C105K3RACTU</x:v>
      </x:c>
      <x:c r="E327" s="2" t="str">
        <x:v>KEMET</x:v>
      </x:c>
      <x:c r="F327" s="8" t="str">
        <x:v>0603</x:v>
      </x:c>
      <x:c r="G327" s="2" t="str">
        <x:v>SURFACE_MOUNT</x:v>
      </x:c>
      <x:c r="H327" s="2" t="str">
        <x:v>SELECTED_CATALOG_ITEM</x:v>
      </x:c>
      <x:c r="I327" s="2" t="str">
        <x:v>Не выпущено</x:v>
      </x:c>
      <x:c r="J327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327" s="31" t="str">
        <x:v>https://search.kemet.com/download/specsheet/C0603C105K3RACTU</x:v>
      </x:c>
      <x:c r="L327" s="31" t="str"/>
    </x:row>
    <x:row r="328" ht="38" customHeight="1">
      <x:c r="A328" s="12" t="str">
        <x:v>C5610</x:v>
      </x:c>
      <x:c r="B328" s="12" t="str">
        <x:v>1u</x:v>
      </x:c>
      <x:c r="C328" s="12" t="str">
        <x:v>Да</x:v>
      </x:c>
      <x:c r="D328" s="11" t="str">
        <x:v>C0603C105K3RACTU</x:v>
      </x:c>
      <x:c r="E328" s="12" t="str">
        <x:v>KEMET</x:v>
      </x:c>
      <x:c r="F328" s="11" t="str">
        <x:v>0603</x:v>
      </x:c>
      <x:c r="G328" s="12" t="str">
        <x:v>SURFACE_MOUNT</x:v>
      </x:c>
      <x:c r="H328" s="12" t="str">
        <x:v>SELECTED_CATALOG_ITEM</x:v>
      </x:c>
      <x:c r="I328" s="12" t="str">
        <x:v>Не выпущено</x:v>
      </x:c>
      <x:c r="J328" s="33" t="str">
        <x:v>capacitance_pf: 1000000; rated_voltage_v: 25; dielectric: X7R; tolerance_pct: 10; temperature_min_c: -55; temperature_max_c: 125; effective_capacitance_min_pf: None; dc_bias_qualification: PENDING_AT_ACTUAL_NODE_VOLTAGE</x:v>
      </x:c>
      <x:c r="K328" s="33" t="str">
        <x:v>https://search.kemet.com/download/specsheet/C0603C105K3RACTU</x:v>
      </x:c>
      <x:c r="L328" s="33" t="str"/>
    </x:row>
    <x:row r="329" ht="38" customHeight="1">
      <x:c r="A329" s="2" t="str">
        <x:v>C5611</x:v>
      </x:c>
      <x:c r="B329" s="2" t="str">
        <x:v>1u</x:v>
      </x:c>
      <x:c r="C329" s="2" t="str">
        <x:v>Да</x:v>
      </x:c>
      <x:c r="D329" s="8" t="str">
        <x:v>C0603C105K3RACTU</x:v>
      </x:c>
      <x:c r="E329" s="2" t="str">
        <x:v>KEMET</x:v>
      </x:c>
      <x:c r="F329" s="8" t="str">
        <x:v>0603</x:v>
      </x:c>
      <x:c r="G329" s="2" t="str">
        <x:v>SURFACE_MOUNT</x:v>
      </x:c>
      <x:c r="H329" s="2" t="str">
        <x:v>SELECTED_CATALOG_ITEM</x:v>
      </x:c>
      <x:c r="I329" s="2" t="str">
        <x:v>Не выпущено</x:v>
      </x:c>
      <x:c r="J329" s="31" t="str">
        <x:v>capacitance_pf: 1000000; rated_voltage_v: 25; dielectric: X7R; tolerance_pct: 10; temperature_min_c: -55; temperature_max_c: 125; effective_capacitance_min_pf: None; dc_bias_qualification: PENDING_AT_ACTUAL_NODE_VOLTAGE</x:v>
      </x:c>
      <x:c r="K329" s="31" t="str">
        <x:v>https://search.kemet.com/download/specsheet/C0603C105K3RACTU</x:v>
      </x:c>
      <x:c r="L329" s="31" t="str"/>
    </x:row>
    <x:row r="330" ht="38" customHeight="1">
      <x:c r="A330" s="12" t="str">
        <x:v>C5612</x:v>
      </x:c>
      <x:c r="B330" s="12" t="str">
        <x:v>100n</x:v>
      </x:c>
      <x:c r="C330" s="12" t="str">
        <x:v>Да</x:v>
      </x:c>
      <x:c r="D330" s="11" t="str">
        <x:v>C0603C104K5RACTU</x:v>
      </x:c>
      <x:c r="E330" s="12" t="str">
        <x:v>KEMET</x:v>
      </x:c>
      <x:c r="F330" s="11" t="str">
        <x:v>0603</x:v>
      </x:c>
      <x:c r="G330" s="12" t="str">
        <x:v>SURFACE_MOUNT</x:v>
      </x:c>
      <x:c r="H330" s="12" t="str">
        <x:v>SELECTED_CATALOG_ITEM</x:v>
      </x:c>
      <x:c r="I330" s="12" t="str">
        <x:v>Не выпущено</x:v>
      </x:c>
      <x:c r="J330" s="33" t="str">
        <x:v>capacitance_pf: 100000; rated_voltage_v: 50; dielectric: X7R; tolerance_pct: 10; temperature_min_c: -55; temperature_max_c: 125</x:v>
      </x:c>
      <x:c r="K330" s="33" t="str">
        <x:v>https://search.kemet.com/download/specsheet/C0603C104K5RACTU</x:v>
      </x:c>
      <x:c r="L330" s="33" t="str"/>
    </x:row>
    <x:row r="331" ht="38" customHeight="1">
      <x:c r="A331" s="2" t="str">
        <x:v>C5613</x:v>
      </x:c>
      <x:c r="B331" s="2" t="str">
        <x:v>100n</x:v>
      </x:c>
      <x:c r="C331" s="2" t="str">
        <x:v>Да</x:v>
      </x:c>
      <x:c r="D331" s="8" t="str">
        <x:v>C0603C104K5RACTU</x:v>
      </x:c>
      <x:c r="E331" s="2" t="str">
        <x:v>KEMET</x:v>
      </x:c>
      <x:c r="F331" s="8" t="str">
        <x:v>0603</x:v>
      </x:c>
      <x:c r="G331" s="2" t="str">
        <x:v>SURFACE_MOUNT</x:v>
      </x:c>
      <x:c r="H331" s="2" t="str">
        <x:v>SELECTED_CATALOG_ITEM</x:v>
      </x:c>
      <x:c r="I331" s="2" t="str">
        <x:v>Не выпущено</x:v>
      </x:c>
      <x:c r="J331" s="31" t="str">
        <x:v>capacitance_pf: 100000; rated_voltage_v: 50; dielectric: X7R; tolerance_pct: 10; temperature_min_c: -55; temperature_max_c: 125</x:v>
      </x:c>
      <x:c r="K331" s="31" t="str">
        <x:v>https://search.kemet.com/download/specsheet/C0603C104K5RACTU</x:v>
      </x:c>
      <x:c r="L331" s="31" t="str"/>
    </x:row>
    <x:row r="332" ht="38" customHeight="1">
      <x:c r="A332" s="12" t="str">
        <x:v>C5614</x:v>
      </x:c>
      <x:c r="B332" s="12" t="str">
        <x:v>100n</x:v>
      </x:c>
      <x:c r="C332" s="12" t="str">
        <x:v>Да</x:v>
      </x:c>
      <x:c r="D332" s="11" t="str">
        <x:v>C0603C104K5RACTU</x:v>
      </x:c>
      <x:c r="E332" s="12" t="str">
        <x:v>KEMET</x:v>
      </x:c>
      <x:c r="F332" s="11" t="str">
        <x:v>0603</x:v>
      </x:c>
      <x:c r="G332" s="12" t="str">
        <x:v>SURFACE_MOUNT</x:v>
      </x:c>
      <x:c r="H332" s="12" t="str">
        <x:v>SELECTED_CATALOG_ITEM</x:v>
      </x:c>
      <x:c r="I332" s="12" t="str">
        <x:v>Не выпущено</x:v>
      </x:c>
      <x:c r="J332" s="33" t="str">
        <x:v>capacitance_pf: 100000; rated_voltage_v: 50; dielectric: X7R; tolerance_pct: 10; temperature_min_c: -55; temperature_max_c: 125</x:v>
      </x:c>
      <x:c r="K332" s="33" t="str">
        <x:v>https://search.kemet.com/download/specsheet/C0603C104K5RACTU</x:v>
      </x:c>
      <x:c r="L332" s="33" t="str"/>
    </x:row>
    <x:row r="333" ht="38" customHeight="1">
      <x:c r="A333" s="2" t="str">
        <x:v>C5615</x:v>
      </x:c>
      <x:c r="B333" s="2" t="str">
        <x:v>100n</x:v>
      </x:c>
      <x:c r="C333" s="2" t="str">
        <x:v>Да</x:v>
      </x:c>
      <x:c r="D333" s="8" t="str">
        <x:v>C0603C104K5RACTU</x:v>
      </x:c>
      <x:c r="E333" s="2" t="str">
        <x:v>KEMET</x:v>
      </x:c>
      <x:c r="F333" s="8" t="str">
        <x:v>0603</x:v>
      </x:c>
      <x:c r="G333" s="2" t="str">
        <x:v>SURFACE_MOUNT</x:v>
      </x:c>
      <x:c r="H333" s="2" t="str">
        <x:v>SELECTED_CATALOG_ITEM</x:v>
      </x:c>
      <x:c r="I333" s="2" t="str">
        <x:v>Не выпущено</x:v>
      </x:c>
      <x:c r="J333" s="31" t="str">
        <x:v>capacitance_pf: 100000; rated_voltage_v: 50; dielectric: X7R; tolerance_pct: 10; temperature_min_c: -55; temperature_max_c: 125</x:v>
      </x:c>
      <x:c r="K333" s="31" t="str">
        <x:v>https://search.kemet.com/download/specsheet/C0603C104K5RACTU</x:v>
      </x:c>
      <x:c r="L333" s="31" t="str"/>
    </x:row>
    <x:row r="334" ht="38" customHeight="1">
      <x:c r="A334" s="12" t="str">
        <x:v>C5616</x:v>
      </x:c>
      <x:c r="B334" s="12" t="str">
        <x:v>4.7u</x:v>
      </x:c>
      <x:c r="C334" s="12" t="str">
        <x:v>Да</x:v>
      </x:c>
      <x:c r="D334" s="11" t="str">
        <x:v>GMC10X7R475K16NT</x:v>
      </x:c>
      <x:c r="E334" s="12" t="str">
        <x:v>Cal-Chip Electronics</x:v>
      </x:c>
      <x:c r="F334" s="11" t="str">
        <x:v>0603</x:v>
      </x:c>
      <x:c r="G334" s="12" t="str">
        <x:v>SURFACE_MOUNT</x:v>
      </x:c>
      <x:c r="H334" s="12" t="str">
        <x:v>SELECTED_CATALOG_ITEM</x:v>
      </x:c>
      <x:c r="I334" s="12" t="str">
        <x:v>Не выпущено</x:v>
      </x:c>
      <x:c r="J334" s="33" t="str">
        <x:v>capacitance_pf: 4700000; rated_voltage_v: 16; dielectric: X7R; tolerance_pct: 10; temperature_min_c: -55; temperature_max_c: 125; effective_capacitance_min_pf: None; dc_bias_qualification: PENDING_AT_ACTUAL_NODE_VOLTAGE</x:v>
      </x:c>
      <x:c r="K334" s="33" t="str">
        <x:v>https://www.digikey.com/en/products/detail/cal-chip-electronics-inc/GMC10X7R475K16NT/22471820</x:v>
      </x:c>
      <x:c r="L334" s="33" t="str"/>
    </x:row>
    <x:row r="335" ht="38" customHeight="1">
      <x:c r="A335" s="2" t="str">
        <x:v>C5617</x:v>
      </x:c>
      <x:c r="B335" s="2" t="str">
        <x:v>100n</x:v>
      </x:c>
      <x:c r="C335" s="2" t="str">
        <x:v>Да</x:v>
      </x:c>
      <x:c r="D335" s="8" t="str">
        <x:v>C0603C104K5RACTU</x:v>
      </x:c>
      <x:c r="E335" s="2" t="str">
        <x:v>KEMET</x:v>
      </x:c>
      <x:c r="F335" s="8" t="str">
        <x:v>0603</x:v>
      </x:c>
      <x:c r="G335" s="2" t="str">
        <x:v>SURFACE_MOUNT</x:v>
      </x:c>
      <x:c r="H335" s="2" t="str">
        <x:v>SELECTED_CATALOG_ITEM</x:v>
      </x:c>
      <x:c r="I335" s="2" t="str">
        <x:v>Не выпущено</x:v>
      </x:c>
      <x:c r="J335" s="31" t="str">
        <x:v>capacitance_pf: 100000; rated_voltage_v: 50; dielectric: X7R; tolerance_pct: 10; temperature_min_c: -55; temperature_max_c: 125</x:v>
      </x:c>
      <x:c r="K335" s="31" t="str">
        <x:v>https://search.kemet.com/download/specsheet/C0603C104K5RACTU</x:v>
      </x:c>
      <x:c r="L335" s="31" t="str"/>
    </x:row>
    <x:row r="336" ht="38" customHeight="1">
      <x:c r="A336" s="12" t="str">
        <x:v>C5618</x:v>
      </x:c>
      <x:c r="B336" s="12" t="str">
        <x:v>100n</x:v>
      </x:c>
      <x:c r="C336" s="12" t="str">
        <x:v>Да</x:v>
      </x:c>
      <x:c r="D336" s="11" t="str">
        <x:v>C0603C104K5RACTU</x:v>
      </x:c>
      <x:c r="E336" s="12" t="str">
        <x:v>KEMET</x:v>
      </x:c>
      <x:c r="F336" s="11" t="str">
        <x:v>0603</x:v>
      </x:c>
      <x:c r="G336" s="12" t="str">
        <x:v>SURFACE_MOUNT</x:v>
      </x:c>
      <x:c r="H336" s="12" t="str">
        <x:v>SELECTED_CATALOG_ITEM</x:v>
      </x:c>
      <x:c r="I336" s="12" t="str">
        <x:v>Не выпущено</x:v>
      </x:c>
      <x:c r="J336" s="33" t="str">
        <x:v>capacitance_pf: 100000; rated_voltage_v: 50; dielectric: X7R; tolerance_pct: 10; temperature_min_c: -55; temperature_max_c: 125</x:v>
      </x:c>
      <x:c r="K336" s="33" t="str">
        <x:v>https://search.kemet.com/download/specsheet/C0603C104K5RACTU</x:v>
      </x:c>
      <x:c r="L336" s="33" t="str"/>
    </x:row>
    <x:row r="337" ht="38" customHeight="1">
      <x:c r="A337" s="2" t="str">
        <x:v>C5640</x:v>
      </x:c>
      <x:c r="B337" s="2" t="str">
        <x:v>100n 16V X7R</x:v>
      </x:c>
      <x:c r="C337" s="2" t="str">
        <x:v>Да</x:v>
      </x:c>
      <x:c r="D337" s="8" t="str">
        <x:v>C0603C104K5RACTU</x:v>
      </x:c>
      <x:c r="E337" s="2" t="str">
        <x:v>KEMET</x:v>
      </x:c>
      <x:c r="F337" s="8" t="str">
        <x:v>0603</x:v>
      </x:c>
      <x:c r="G337" s="2" t="str">
        <x:v>SURFACE_MOUNT</x:v>
      </x:c>
      <x:c r="H337" s="2" t="str">
        <x:v>SELECTED_CATALOG_ITEM</x:v>
      </x:c>
      <x:c r="I337" s="2" t="str">
        <x:v>Не выпущено</x:v>
      </x:c>
      <x:c r="J337" s="31" t="str">
        <x:v>capacitance_pf: 100000; rated_voltage_v: 50; dielectric: X7R; tolerance_pct: 10; temperature_min_c: -55; temperature_max_c: 125</x:v>
      </x:c>
      <x:c r="K337" s="31" t="str">
        <x:v>https://search.kemet.com/download/specsheet/C0603C104K5RACTU</x:v>
      </x:c>
      <x:c r="L337" s="31" t="str"/>
    </x:row>
    <x:row r="338" ht="38" customHeight="1">
      <x:c r="A338" s="12" t="str">
        <x:v>C5641</x:v>
      </x:c>
      <x:c r="B338" s="12" t="str">
        <x:v>100n 16V X7R</x:v>
      </x:c>
      <x:c r="C338" s="12" t="str">
        <x:v>Да</x:v>
      </x:c>
      <x:c r="D338" s="11" t="str">
        <x:v>C0603C104K5RACTU</x:v>
      </x:c>
      <x:c r="E338" s="12" t="str">
        <x:v>KEMET</x:v>
      </x:c>
      <x:c r="F338" s="11" t="str">
        <x:v>0603</x:v>
      </x:c>
      <x:c r="G338" s="12" t="str">
        <x:v>SURFACE_MOUNT</x:v>
      </x:c>
      <x:c r="H338" s="12" t="str">
        <x:v>SELECTED_CATALOG_ITEM</x:v>
      </x:c>
      <x:c r="I338" s="12" t="str">
        <x:v>Не выпущено</x:v>
      </x:c>
      <x:c r="J338" s="33" t="str">
        <x:v>capacitance_pf: 100000; rated_voltage_v: 50; dielectric: X7R; tolerance_pct: 10; temperature_min_c: -55; temperature_max_c: 125</x:v>
      </x:c>
      <x:c r="K338" s="33" t="str">
        <x:v>https://search.kemet.com/download/specsheet/C0603C104K5RACTU</x:v>
      </x:c>
      <x:c r="L338" s="33" t="str"/>
    </x:row>
    <x:row r="339" ht="38" customHeight="1">
      <x:c r="A339" s="2" t="str">
        <x:v>C5650</x:v>
      </x:c>
      <x:c r="B339" s="2" t="str">
        <x:v>100n 100V X7R</x:v>
      </x:c>
      <x:c r="C339" s="2" t="str">
        <x:v>Да</x:v>
      </x:c>
      <x:c r="D339" s="8" t="str">
        <x:v>C0805C104K1RACTU</x:v>
      </x:c>
      <x:c r="E339" s="2" t="str">
        <x:v>KEMET</x:v>
      </x:c>
      <x:c r="F339" s="8" t="str">
        <x:v>0805</x:v>
      </x:c>
      <x:c r="G339" s="2" t="str">
        <x:v>SURFACE_MOUNT</x:v>
      </x:c>
      <x:c r="H339" s="2" t="str">
        <x:v>SELECTED_CATALOG_ITEM</x:v>
      </x:c>
      <x:c r="I339" s="2" t="str">
        <x:v>Не выпущено</x:v>
      </x:c>
      <x:c r="J339" s="31" t="str">
        <x:v>capacitance_pf: 100000; rated_voltage_v: 100; dielectric: X7R; tolerance_pct: 10; temperature_min_c: -55; temperature_max_c: 125</x:v>
      </x:c>
      <x:c r="K339" s="31" t="str">
        <x:v>https://www.mouser.com/datasheet/3/72/1/C0805C104K1RACTU.pdf</x:v>
      </x:c>
      <x:c r="L339" s="31" t="str"/>
    </x:row>
    <x:row r="340" ht="38" customHeight="1">
      <x:c r="A340" s="12" t="str">
        <x:v>C5651</x:v>
      </x:c>
      <x:c r="B340" s="12" t="str">
        <x:v>47u 63V lowESR</x:v>
      </x:c>
      <x:c r="C340" s="12" t="str">
        <x:v>Да</x:v>
      </x:c>
      <x:c r="D340" s="11" t="str">
        <x:v>EEH-ZC1J470P</x:v>
      </x:c>
      <x:c r="E340" s="12" t="str">
        <x:v>Panasonic Industry</x:v>
      </x:c>
      <x:c r="F340" s="11" t="str">
        <x:v>Radial_SMD_D8_H10.5</x:v>
      </x:c>
      <x:c r="G340" s="12" t="str">
        <x:v>SURFACE_MOUNT</x:v>
      </x:c>
      <x:c r="H340" s="12" t="str">
        <x:v>SELECTED_CONDITIONAL</x:v>
      </x:c>
      <x:c r="I340" s="12" t="str">
        <x:v>Не выпущено</x:v>
      </x:c>
      <x:c r="J340" s="33" t="str">
        <x:v>capacitance_pf: 47000000; rated_voltage_v: 63; tolerance_pct: 20; temperature_min_c: -55; temperature_max_c: 125; diameter_mm: 8; height_max_mm: 10.5; land_size_mm: [8.3, 8.3]; esr_max_mohm: 40; ripple_a_100khz: 1.1; ripple_a_100hz: 0.165; lifetime_h_at_max_temp: 4000; technology: hybrid aluminum; aec_q200: True</x:v>
      </x:c>
      <x:c r="K340" s="33" t="str">
        <x:v>https://www.digikey.com/en/products/detail/panasonic-industry/EEH-ZC1J470P/9842041</x:v>
      </x:c>
      <x:c r="L340" s="33" t="str">
        <x:v>Source footprint CP_Elec_8x10; selected part maximum seated height10.5mm and8.3mm square land envelope require clearance verification.</x:v>
      </x:c>
    </x:row>
    <x:row r="341" ht="38" customHeight="1">
      <x:c r="A341" s="2" t="str">
        <x:v>C5660</x:v>
      </x:c>
      <x:c r="B341" s="2" t="str">
        <x:v>100n 16V X7R</x:v>
      </x:c>
      <x:c r="C341" s="2" t="str">
        <x:v>Да</x:v>
      </x:c>
      <x:c r="D341" s="8" t="str">
        <x:v>C0603C104K5RACTU</x:v>
      </x:c>
      <x:c r="E341" s="2" t="str">
        <x:v>KEMET</x:v>
      </x:c>
      <x:c r="F341" s="8" t="str">
        <x:v>0603</x:v>
      </x:c>
      <x:c r="G341" s="2" t="str">
        <x:v>SURFACE_MOUNT</x:v>
      </x:c>
      <x:c r="H341" s="2" t="str">
        <x:v>SELECTED_CATALOG_ITEM</x:v>
      </x:c>
      <x:c r="I341" s="2" t="str">
        <x:v>Не выпущено</x:v>
      </x:c>
      <x:c r="J341" s="31" t="str">
        <x:v>capacitance_pf: 100000; rated_voltage_v: 50; dielectric: X7R; tolerance_pct: 10; temperature_min_c: -55; temperature_max_c: 125</x:v>
      </x:c>
      <x:c r="K341" s="31" t="str">
        <x:v>https://search.kemet.com/download/specsheet/C0603C104K5RACTU</x:v>
      </x:c>
      <x:c r="L341" s="31" t="str"/>
    </x:row>
    <x:row r="342" ht="38" customHeight="1">
      <x:c r="A342" s="12" t="str">
        <x:v>C5661</x:v>
      </x:c>
      <x:c r="B342" s="12" t="str">
        <x:v>10u 16V X7R effective&gt;=4.7u</x:v>
      </x:c>
      <x:c r="C342" s="12" t="str">
        <x:v>Да</x:v>
      </x:c>
      <x:c r="D342" s="11" t="str">
        <x:v>C1206C106K4RACTU</x:v>
      </x:c>
      <x:c r="E342" s="12" t="str">
        <x:v>KEMET</x:v>
      </x:c>
      <x:c r="F342" s="11" t="str">
        <x:v>1206</x:v>
      </x:c>
      <x:c r="G342" s="12" t="str">
        <x:v>SURFACE_MOUNT</x:v>
      </x:c>
      <x:c r="H342" s="12" t="str">
        <x:v>SELECTED_CATALOG_ITEM</x:v>
      </x:c>
      <x:c r="I342" s="12" t="str">
        <x:v>Не выпущено</x:v>
      </x:c>
      <x:c r="J342" s="33" t="str">
        <x:v>capacitance_pf: 10000000; rated_voltage_v: 16; dielectric: X7R; tolerance_pct: 10; temperature_min_c: -55; temperature_max_c: 125; effective_capacitance_min_pf: None; dc_bias_qualification: PENDING_AT_ACTUAL_NODE_VOLTAGE</x:v>
      </x:c>
      <x:c r="K342" s="33" t="str">
        <x:v>https://search.kemet.com/component-documentation/download/specsheet/C1206C106K4RACTU</x:v>
      </x:c>
      <x:c r="L342" s="33" t="str">
        <x:v>Required effective capacitance not yet verified with supplier bias, temperature, tolerance and aging envelope.</x:v>
      </x:c>
    </x:row>
    <x:row r="343" ht="38" customHeight="1">
      <x:c r="A343" s="2" t="str">
        <x:v>C5662</x:v>
      </x:c>
      <x:c r="B343" s="2" t="str">
        <x:v>10u 16V X7R effective&gt;=4.7u</x:v>
      </x:c>
      <x:c r="C343" s="2" t="str">
        <x:v>Да</x:v>
      </x:c>
      <x:c r="D343" s="8" t="str">
        <x:v>C1206C106K4RACTU</x:v>
      </x:c>
      <x:c r="E343" s="2" t="str">
        <x:v>KEMET</x:v>
      </x:c>
      <x:c r="F343" s="8" t="str">
        <x:v>1206</x:v>
      </x:c>
      <x:c r="G343" s="2" t="str">
        <x:v>SURFACE_MOUNT</x:v>
      </x:c>
      <x:c r="H343" s="2" t="str">
        <x:v>SELECTED_CATALOG_ITEM</x:v>
      </x:c>
      <x:c r="I343" s="2" t="str">
        <x:v>Не выпущено</x:v>
      </x:c>
      <x:c r="J343" s="31" t="str">
        <x:v>capacitance_pf: 10000000; rated_voltage_v: 16; dielectric: X7R; tolerance_pct: 10; temperature_min_c: -55; temperature_max_c: 125; effective_capacitance_min_pf: None; dc_bias_qualification: PENDING_AT_ACTUAL_NODE_VOLTAGE</x:v>
      </x:c>
      <x:c r="K343" s="31" t="str">
        <x:v>https://search.kemet.com/component-documentation/download/specsheet/C1206C106K4RACTU</x:v>
      </x:c>
      <x:c r="L343" s="31" t="str">
        <x:v>Required effective capacitance not yet verified with supplier bias, temperature, tolerance and aging envelope.</x:v>
      </x:c>
    </x:row>
    <x:row r="344" ht="38" customHeight="1">
      <x:c r="A344" s="12" t="str">
        <x:v>C5663</x:v>
      </x:c>
      <x:c r="B344" s="12" t="str">
        <x:v>100n 16V X7R</x:v>
      </x:c>
      <x:c r="C344" s="12" t="str">
        <x:v>Да</x:v>
      </x:c>
      <x:c r="D344" s="11" t="str">
        <x:v>C0603C104K5RACTU</x:v>
      </x:c>
      <x:c r="E344" s="12" t="str">
        <x:v>KEMET</x:v>
      </x:c>
      <x:c r="F344" s="11" t="str">
        <x:v>0603</x:v>
      </x:c>
      <x:c r="G344" s="12" t="str">
        <x:v>SURFACE_MOUNT</x:v>
      </x:c>
      <x:c r="H344" s="12" t="str">
        <x:v>SELECTED_CATALOG_ITEM</x:v>
      </x:c>
      <x:c r="I344" s="12" t="str">
        <x:v>Не выпущено</x:v>
      </x:c>
      <x:c r="J344" s="33" t="str">
        <x:v>capacitance_pf: 100000; rated_voltage_v: 50; dielectric: X7R; tolerance_pct: 10; temperature_min_c: -55; temperature_max_c: 125</x:v>
      </x:c>
      <x:c r="K344" s="33" t="str">
        <x:v>https://search.kemet.com/download/specsheet/C0603C104K5RACTU</x:v>
      </x:c>
      <x:c r="L344" s="33" t="str"/>
    </x:row>
    <x:row r="345" ht="38" customHeight="1">
      <x:c r="A345" s="2" t="str">
        <x:v>C5664</x:v>
      </x:c>
      <x:c r="B345" s="2" t="str">
        <x:v>100n 16V X7R</x:v>
      </x:c>
      <x:c r="C345" s="2" t="str">
        <x:v>Да</x:v>
      </x:c>
      <x:c r="D345" s="8" t="str">
        <x:v>C0603C104K5RACTU</x:v>
      </x:c>
      <x:c r="E345" s="2" t="str">
        <x:v>KEMET</x:v>
      </x:c>
      <x:c r="F345" s="8" t="str">
        <x:v>0603</x:v>
      </x:c>
      <x:c r="G345" s="2" t="str">
        <x:v>SURFACE_MOUNT</x:v>
      </x:c>
      <x:c r="H345" s="2" t="str">
        <x:v>SELECTED_CATALOG_ITEM</x:v>
      </x:c>
      <x:c r="I345" s="2" t="str">
        <x:v>Не выпущено</x:v>
      </x:c>
      <x:c r="J345" s="31" t="str">
        <x:v>capacitance_pf: 100000; rated_voltage_v: 50; dielectric: X7R; tolerance_pct: 10; temperature_min_c: -55; temperature_max_c: 125</x:v>
      </x:c>
      <x:c r="K345" s="31" t="str">
        <x:v>https://search.kemet.com/download/specsheet/C0603C104K5RACTU</x:v>
      </x:c>
      <x:c r="L345" s="31" t="str"/>
    </x:row>
    <x:row r="346" ht="38" customHeight="1">
      <x:c r="A346" s="12" t="str">
        <x:v>C6000</x:v>
      </x:c>
      <x:c r="B346" s="12" t="str">
        <x:v>100n 25V X7R</x:v>
      </x:c>
      <x:c r="C346" s="12" t="str">
        <x:v>Да</x:v>
      </x:c>
      <x:c r="D346" s="11" t="str">
        <x:v>C0805C104K1RACTU</x:v>
      </x:c>
      <x:c r="E346" s="12" t="str">
        <x:v>KEMET</x:v>
      </x:c>
      <x:c r="F346" s="11" t="str">
        <x:v>0805</x:v>
      </x:c>
      <x:c r="G346" s="12" t="str">
        <x:v>SURFACE_MOUNT</x:v>
      </x:c>
      <x:c r="H346" s="12" t="str">
        <x:v>SELECTED_CATALOG_ITEM</x:v>
      </x:c>
      <x:c r="I346" s="12" t="str">
        <x:v>Не выпущено</x:v>
      </x:c>
      <x:c r="J346" s="33" t="str">
        <x:v>capacitance_pf: 100000; rated_voltage_v: 100; dielectric: X7R; tolerance_pct: 10; temperature_min_c: -55; temperature_max_c: 125</x:v>
      </x:c>
      <x:c r="K346" s="33" t="str">
        <x:v>https://www.mouser.com/datasheet/3/72/1/C0805C104K1RACTU.pdf</x:v>
      </x:c>
      <x:c r="L346" s="33" t="str"/>
    </x:row>
    <x:row r="347" ht="38" customHeight="1">
      <x:c r="A347" s="2" t="str">
        <x:v>C6001</x:v>
      </x:c>
      <x:c r="B347" s="2" t="str">
        <x:v>100n 25V X7R</x:v>
      </x:c>
      <x:c r="C347" s="2" t="str">
        <x:v>Да</x:v>
      </x:c>
      <x:c r="D347" s="8" t="str">
        <x:v>C0805C104K1RACTU</x:v>
      </x:c>
      <x:c r="E347" s="2" t="str">
        <x:v>KEMET</x:v>
      </x:c>
      <x:c r="F347" s="8" t="str">
        <x:v>0805</x:v>
      </x:c>
      <x:c r="G347" s="2" t="str">
        <x:v>SURFACE_MOUNT</x:v>
      </x:c>
      <x:c r="H347" s="2" t="str">
        <x:v>SELECTED_CATALOG_ITEM</x:v>
      </x:c>
      <x:c r="I347" s="2" t="str">
        <x:v>Не выпущено</x:v>
      </x:c>
      <x:c r="J347" s="31" t="str">
        <x:v>capacitance_pf: 100000; rated_voltage_v: 100; dielectric: X7R; tolerance_pct: 10; temperature_min_c: -55; temperature_max_c: 125</x:v>
      </x:c>
      <x:c r="K347" s="31" t="str">
        <x:v>https://www.mouser.com/datasheet/3/72/1/C0805C104K1RACTU.pdf</x:v>
      </x:c>
      <x:c r="L347" s="31" t="str"/>
    </x:row>
    <x:row r="348" ht="38" customHeight="1">
      <x:c r="A348" s="12" t="str">
        <x:v>C6002</x:v>
      </x:c>
      <x:c r="B348" s="12" t="str">
        <x:v>100n 50V X7R</x:v>
      </x:c>
      <x:c r="C348" s="12" t="str">
        <x:v>Да</x:v>
      </x:c>
      <x:c r="D348" s="11" t="str">
        <x:v>C0805C104K1RACTU</x:v>
      </x:c>
      <x:c r="E348" s="12" t="str">
        <x:v>KEMET</x:v>
      </x:c>
      <x:c r="F348" s="11" t="str">
        <x:v>0805</x:v>
      </x:c>
      <x:c r="G348" s="12" t="str">
        <x:v>SURFACE_MOUNT</x:v>
      </x:c>
      <x:c r="H348" s="12" t="str">
        <x:v>SELECTED_CATALOG_ITEM</x:v>
      </x:c>
      <x:c r="I348" s="12" t="str">
        <x:v>Не выпущено</x:v>
      </x:c>
      <x:c r="J348" s="33" t="str">
        <x:v>capacitance_pf: 100000; rated_voltage_v: 100; dielectric: X7R; tolerance_pct: 10; temperature_min_c: -55; temperature_max_c: 125</x:v>
      </x:c>
      <x:c r="K348" s="33" t="str">
        <x:v>https://www.mouser.com/datasheet/3/72/1/C0805C104K1RACTU.pdf</x:v>
      </x:c>
      <x:c r="L348" s="33" t="str"/>
    </x:row>
    <x:row r="349" ht="38" customHeight="1">
      <x:c r="A349" s="2" t="str">
        <x:v>C6003</x:v>
      </x:c>
      <x:c r="B349" s="2" t="str">
        <x:v>1u 50V X7R</x:v>
      </x:c>
      <x:c r="C349" s="2" t="str">
        <x:v>Да</x:v>
      </x:c>
      <x:c r="D349" s="8" t="str">
        <x:v>C1206C105K5RACTU</x:v>
      </x:c>
      <x:c r="E349" s="2" t="str">
        <x:v>KEMET</x:v>
      </x:c>
      <x:c r="F349" s="8" t="str">
        <x:v>1206</x:v>
      </x:c>
      <x:c r="G349" s="2" t="str">
        <x:v>SURFACE_MOUNT</x:v>
      </x:c>
      <x:c r="H349" s="2" t="str">
        <x:v>SELECTED_CATALOG_ITEM</x:v>
      </x:c>
      <x:c r="I349" s="2" t="str">
        <x:v>Не выпущено</x:v>
      </x:c>
      <x:c r="J349" s="31" t="str">
        <x:v>capacitance_pf: 1000000; rated_voltage_v: 50; dielectric: X7R; tolerance_pct: 10; temperature_min_c: -55; temperature_max_c: 125; effective_capacitance_min_pf: None; dc_bias_qualification: PENDING_AT_ACTUAL_NODE_VOLTAGE</x:v>
      </x:c>
      <x:c r="K349" s="31" t="str">
        <x:v>https://www.digikey.com/en/products/detail/kemet/C1206C105K5RACTU/2215096</x:v>
      </x:c>
      <x:c r="L349" s="31" t="str"/>
    </x:row>
    <x:row r="350" ht="38" customHeight="1">
      <x:c r="A350" s="12" t="str">
        <x:v>C6004</x:v>
      </x:c>
      <x:c r="B350" s="12" t="str">
        <x:v>100u 50V low ESR</x:v>
      </x:c>
      <x:c r="C350" s="12" t="str">
        <x:v>Да</x:v>
      </x:c>
      <x:c r="D350" s="11" t="str">
        <x:v>EEH-ZE1H101P</x:v>
      </x:c>
      <x:c r="E350" s="12" t="str">
        <x:v>Panasonic Industry</x:v>
      </x:c>
      <x:c r="F350" s="11" t="str">
        <x:v>Radial_SMD_D10_H10.5</x:v>
      </x:c>
      <x:c r="G350" s="12" t="str">
        <x:v>SURFACE_MOUNT</x:v>
      </x:c>
      <x:c r="H350" s="12" t="str">
        <x:v>SELECTED_CONDITIONAL</x:v>
      </x:c>
      <x:c r="I350" s="12" t="str">
        <x:v>Не выпущено</x:v>
      </x:c>
      <x:c r="J350" s="33" t="str">
        <x:v>capacitance_pf: 100000000; rated_voltage_v: 50; tolerance_pct: 20; temperature_min_c: -55; temperature_max_c: 145; diameter_mm: 10; height_max_mm: 10.5; land_size_mm: [10.3, 10.3]; esr_max_mohm: 28; ripple_a_100khz: 0.8; ripple_a_100hz: 0.12; lifetime_h_at_max_temp: 2000; technology: hybrid aluminum; aec_q200: True</x:v>
      </x:c>
      <x:c r="K350" s="33" t="str">
        <x:v>https://www.digikey.com/en/products/detail/panasonic-industry/EEH-ZE1H101P/7103634</x:v>
      </x:c>
      <x:c r="L350" s="33" t="str">
        <x:v>EWG/DBW current ripple and thermal lifetime must be checked; catalog0.8A ripple is not circuit qualification.</x:v>
      </x:c>
    </x:row>
    <x:row r="351" ht="38" customHeight="1">
      <x:c r="A351" s="2" t="str">
        <x:v>C6005</x:v>
      </x:c>
      <x:c r="B351" s="2" t="str">
        <x:v>1n 100V C0G</x:v>
      </x:c>
      <x:c r="C351" s="2" t="str">
        <x:v>Да</x:v>
      </x:c>
      <x:c r="D351" s="8" t="str">
        <x:v>C0805C102J1GACTU</x:v>
      </x:c>
      <x:c r="E351" s="2" t="str">
        <x:v>KEMET</x:v>
      </x:c>
      <x:c r="F351" s="8" t="str">
        <x:v>0805</x:v>
      </x:c>
      <x:c r="G351" s="2" t="str">
        <x:v>SURFACE_MOUNT</x:v>
      </x:c>
      <x:c r="H351" s="2" t="str">
        <x:v>SELECTED_CATALOG_ITEM</x:v>
      </x:c>
      <x:c r="I351" s="2" t="str">
        <x:v>Не выпущено</x:v>
      </x:c>
      <x:c r="J351" s="31" t="str">
        <x:v>capacitance_pf: 1000; rated_voltage_v: 100; dielectric: C0G; tolerance_pct: 5; temperature_min_c: -55; temperature_max_c: 125</x:v>
      </x:c>
      <x:c r="K351" s="31" t="str">
        <x:v>https://www.digikey.com/en/products/detail/kemet/C0805C102J1GACTU/411136</x:v>
      </x:c>
      <x:c r="L351" s="31" t="str"/>
    </x:row>
    <x:row r="352" ht="38" customHeight="1">
      <x:c r="A352" s="12" t="str">
        <x:v>C6006</x:v>
      </x:c>
      <x:c r="B352" s="12" t="str">
        <x:v>1n 100V C0G</x:v>
      </x:c>
      <x:c r="C352" s="12" t="str">
        <x:v>Да</x:v>
      </x:c>
      <x:c r="D352" s="11" t="str">
        <x:v>C0805C102J1GACTU</x:v>
      </x:c>
      <x:c r="E352" s="12" t="str">
        <x:v>KEMET</x:v>
      </x:c>
      <x:c r="F352" s="11" t="str">
        <x:v>0805</x:v>
      </x:c>
      <x:c r="G352" s="12" t="str">
        <x:v>SURFACE_MOUNT</x:v>
      </x:c>
      <x:c r="H352" s="12" t="str">
        <x:v>SELECTED_CATALOG_ITEM</x:v>
      </x:c>
      <x:c r="I352" s="12" t="str">
        <x:v>Не выпущено</x:v>
      </x:c>
      <x:c r="J352" s="33" t="str">
        <x:v>capacitance_pf: 1000; rated_voltage_v: 100; dielectric: C0G; tolerance_pct: 5; temperature_min_c: -55; temperature_max_c: 125</x:v>
      </x:c>
      <x:c r="K352" s="33" t="str">
        <x:v>https://www.digikey.com/en/products/detail/kemet/C0805C102J1GACTU/411136</x:v>
      </x:c>
      <x:c r="L352" s="33" t="str"/>
    </x:row>
    <x:row r="353" ht="38" customHeight="1">
      <x:c r="A353" s="2" t="str">
        <x:v>C6050</x:v>
      </x:c>
      <x:c r="B353" s="2" t="str">
        <x:v>100n 25V X7R</x:v>
      </x:c>
      <x:c r="C353" s="2" t="str">
        <x:v>Да</x:v>
      </x:c>
      <x:c r="D353" s="8" t="str">
        <x:v>C0805C104K1RACTU</x:v>
      </x:c>
      <x:c r="E353" s="2" t="str">
        <x:v>KEMET</x:v>
      </x:c>
      <x:c r="F353" s="8" t="str">
        <x:v>0805</x:v>
      </x:c>
      <x:c r="G353" s="2" t="str">
        <x:v>SURFACE_MOUNT</x:v>
      </x:c>
      <x:c r="H353" s="2" t="str">
        <x:v>SELECTED_CATALOG_ITEM</x:v>
      </x:c>
      <x:c r="I353" s="2" t="str">
        <x:v>Не выпущено</x:v>
      </x:c>
      <x:c r="J353" s="31" t="str">
        <x:v>capacitance_pf: 100000; rated_voltage_v: 100; dielectric: X7R; tolerance_pct: 10; temperature_min_c: -55; temperature_max_c: 125</x:v>
      </x:c>
      <x:c r="K353" s="31" t="str">
        <x:v>https://www.mouser.com/datasheet/3/72/1/C0805C104K1RACTU.pdf</x:v>
      </x:c>
      <x:c r="L353" s="31" t="str"/>
    </x:row>
    <x:row r="354" ht="38" customHeight="1">
      <x:c r="A354" s="12" t="str">
        <x:v>C6051</x:v>
      </x:c>
      <x:c r="B354" s="12" t="str">
        <x:v>100n 25V X7R</x:v>
      </x:c>
      <x:c r="C354" s="12" t="str">
        <x:v>Да</x:v>
      </x:c>
      <x:c r="D354" s="11" t="str">
        <x:v>C0805C104K1RACTU</x:v>
      </x:c>
      <x:c r="E354" s="12" t="str">
        <x:v>KEMET</x:v>
      </x:c>
      <x:c r="F354" s="11" t="str">
        <x:v>0805</x:v>
      </x:c>
      <x:c r="G354" s="12" t="str">
        <x:v>SURFACE_MOUNT</x:v>
      </x:c>
      <x:c r="H354" s="12" t="str">
        <x:v>SELECTED_CATALOG_ITEM</x:v>
      </x:c>
      <x:c r="I354" s="12" t="str">
        <x:v>Не выпущено</x:v>
      </x:c>
      <x:c r="J354" s="33" t="str">
        <x:v>capacitance_pf: 100000; rated_voltage_v: 100; dielectric: X7R; tolerance_pct: 10; temperature_min_c: -55; temperature_max_c: 125</x:v>
      </x:c>
      <x:c r="K354" s="33" t="str">
        <x:v>https://www.mouser.com/datasheet/3/72/1/C0805C104K1RACTU.pdf</x:v>
      </x:c>
      <x:c r="L354" s="33" t="str"/>
    </x:row>
    <x:row r="355" ht="38" customHeight="1">
      <x:c r="A355" s="2" t="str">
        <x:v>C6052</x:v>
      </x:c>
      <x:c r="B355" s="2" t="str">
        <x:v>100n 50V X7R</x:v>
      </x:c>
      <x:c r="C355" s="2" t="str">
        <x:v>Да</x:v>
      </x:c>
      <x:c r="D355" s="8" t="str">
        <x:v>C0805C104K1RACTU</x:v>
      </x:c>
      <x:c r="E355" s="2" t="str">
        <x:v>KEMET</x:v>
      </x:c>
      <x:c r="F355" s="8" t="str">
        <x:v>0805</x:v>
      </x:c>
      <x:c r="G355" s="2" t="str">
        <x:v>SURFACE_MOUNT</x:v>
      </x:c>
      <x:c r="H355" s="2" t="str">
        <x:v>SELECTED_CATALOG_ITEM</x:v>
      </x:c>
      <x:c r="I355" s="2" t="str">
        <x:v>Не выпущено</x:v>
      </x:c>
      <x:c r="J355" s="31" t="str">
        <x:v>capacitance_pf: 100000; rated_voltage_v: 100; dielectric: X7R; tolerance_pct: 10; temperature_min_c: -55; temperature_max_c: 125</x:v>
      </x:c>
      <x:c r="K355" s="31" t="str">
        <x:v>https://www.mouser.com/datasheet/3/72/1/C0805C104K1RACTU.pdf</x:v>
      </x:c>
      <x:c r="L355" s="31" t="str"/>
    </x:row>
    <x:row r="356" ht="38" customHeight="1">
      <x:c r="A356" s="12" t="str">
        <x:v>C6053</x:v>
      </x:c>
      <x:c r="B356" s="12" t="str">
        <x:v>1u 50V X7R</x:v>
      </x:c>
      <x:c r="C356" s="12" t="str">
        <x:v>Да</x:v>
      </x:c>
      <x:c r="D356" s="11" t="str">
        <x:v>C1206C105K5RACTU</x:v>
      </x:c>
      <x:c r="E356" s="12" t="str">
        <x:v>KEMET</x:v>
      </x:c>
      <x:c r="F356" s="11" t="str">
        <x:v>1206</x:v>
      </x:c>
      <x:c r="G356" s="12" t="str">
        <x:v>SURFACE_MOUNT</x:v>
      </x:c>
      <x:c r="H356" s="12" t="str">
        <x:v>SELECTED_CATALOG_ITEM</x:v>
      </x:c>
      <x:c r="I356" s="12" t="str">
        <x:v>Не выпущено</x:v>
      </x:c>
      <x:c r="J356" s="33" t="str">
        <x:v>capacitance_pf: 1000000; rated_voltage_v: 50; dielectric: X7R; tolerance_pct: 10; temperature_min_c: -55; temperature_max_c: 125; effective_capacitance_min_pf: None; dc_bias_qualification: PENDING_AT_ACTUAL_NODE_VOLTAGE</x:v>
      </x:c>
      <x:c r="K356" s="33" t="str">
        <x:v>https://www.digikey.com/en/products/detail/kemet/C1206C105K5RACTU/2215096</x:v>
      </x:c>
      <x:c r="L356" s="33" t="str"/>
    </x:row>
    <x:row r="357" ht="38" customHeight="1">
      <x:c r="A357" s="2" t="str">
        <x:v>C6054</x:v>
      </x:c>
      <x:c r="B357" s="2" t="str">
        <x:v>100u 50V low ESR</x:v>
      </x:c>
      <x:c r="C357" s="2" t="str">
        <x:v>Да</x:v>
      </x:c>
      <x:c r="D357" s="8" t="str">
        <x:v>EEH-ZE1H101P</x:v>
      </x:c>
      <x:c r="E357" s="2" t="str">
        <x:v>Panasonic Industry</x:v>
      </x:c>
      <x:c r="F357" s="8" t="str">
        <x:v>Radial_SMD_D10_H10.5</x:v>
      </x:c>
      <x:c r="G357" s="2" t="str">
        <x:v>SURFACE_MOUNT</x:v>
      </x:c>
      <x:c r="H357" s="2" t="str">
        <x:v>SELECTED_CONDITIONAL</x:v>
      </x:c>
      <x:c r="I357" s="2" t="str">
        <x:v>Не выпущено</x:v>
      </x:c>
      <x:c r="J357" s="31" t="str">
        <x:v>capacitance_pf: 100000000; rated_voltage_v: 50; tolerance_pct: 20; temperature_min_c: -55; temperature_max_c: 145; diameter_mm: 10; height_max_mm: 10.5; land_size_mm: [10.3, 10.3]; esr_max_mohm: 28; ripple_a_100khz: 0.8; ripple_a_100hz: 0.12; lifetime_h_at_max_temp: 2000; technology: hybrid aluminum; aec_q200: True</x:v>
      </x:c>
      <x:c r="K357" s="31" t="str">
        <x:v>https://www.digikey.com/en/products/detail/panasonic-industry/EEH-ZE1H101P/7103634</x:v>
      </x:c>
      <x:c r="L357" s="31" t="str">
        <x:v>EWG/DBW current ripple and thermal lifetime must be checked; catalog0.8A ripple is not circuit qualification.</x:v>
      </x:c>
    </x:row>
    <x:row r="358" ht="38" customHeight="1">
      <x:c r="A358" s="12" t="str">
        <x:v>C6055</x:v>
      </x:c>
      <x:c r="B358" s="12" t="str">
        <x:v>1n 100V C0G</x:v>
      </x:c>
      <x:c r="C358" s="12" t="str">
        <x:v>Да</x:v>
      </x:c>
      <x:c r="D358" s="11" t="str">
        <x:v>C0805C102J1GACTU</x:v>
      </x:c>
      <x:c r="E358" s="12" t="str">
        <x:v>KEMET</x:v>
      </x:c>
      <x:c r="F358" s="11" t="str">
        <x:v>0805</x:v>
      </x:c>
      <x:c r="G358" s="12" t="str">
        <x:v>SURFACE_MOUNT</x:v>
      </x:c>
      <x:c r="H358" s="12" t="str">
        <x:v>SELECTED_CATALOG_ITEM</x:v>
      </x:c>
      <x:c r="I358" s="12" t="str">
        <x:v>Не выпущено</x:v>
      </x:c>
      <x:c r="J358" s="33" t="str">
        <x:v>capacitance_pf: 1000; rated_voltage_v: 100; dielectric: C0G; tolerance_pct: 5; temperature_min_c: -55; temperature_max_c: 125</x:v>
      </x:c>
      <x:c r="K358" s="33" t="str">
        <x:v>https://www.digikey.com/en/products/detail/kemet/C0805C102J1GACTU/411136</x:v>
      </x:c>
      <x:c r="L358" s="33" t="str"/>
    </x:row>
    <x:row r="359" ht="38" customHeight="1">
      <x:c r="A359" s="2" t="str">
        <x:v>C6056</x:v>
      </x:c>
      <x:c r="B359" s="2" t="str">
        <x:v>1n 100V C0G</x:v>
      </x:c>
      <x:c r="C359" s="2" t="str">
        <x:v>Да</x:v>
      </x:c>
      <x:c r="D359" s="8" t="str">
        <x:v>C0805C102J1GACTU</x:v>
      </x:c>
      <x:c r="E359" s="2" t="str">
        <x:v>KEMET</x:v>
      </x:c>
      <x:c r="F359" s="8" t="str">
        <x:v>0805</x:v>
      </x:c>
      <x:c r="G359" s="2" t="str">
        <x:v>SURFACE_MOUNT</x:v>
      </x:c>
      <x:c r="H359" s="2" t="str">
        <x:v>SELECTED_CATALOG_ITEM</x:v>
      </x:c>
      <x:c r="I359" s="2" t="str">
        <x:v>Не выпущено</x:v>
      </x:c>
      <x:c r="J359" s="31" t="str">
        <x:v>capacitance_pf: 1000; rated_voltage_v: 100; dielectric: C0G; tolerance_pct: 5; temperature_min_c: -55; temperature_max_c: 125</x:v>
      </x:c>
      <x:c r="K359" s="31" t="str">
        <x:v>https://www.digikey.com/en/products/detail/kemet/C0805C102J1GACTU/411136</x:v>
      </x:c>
      <x:c r="L359" s="31" t="str"/>
    </x:row>
    <x:row r="360" ht="38" customHeight="1">
      <x:c r="A360" s="12" t="str">
        <x:v>C6190</x:v>
      </x:c>
      <x:c r="B360" s="12" t="str">
        <x:v>100n 25V X7R</x:v>
      </x:c>
      <x:c r="C360" s="12" t="str">
        <x:v>Да</x:v>
      </x:c>
      <x:c r="D360" s="11" t="str">
        <x:v>C0805C104K1RACTU</x:v>
      </x:c>
      <x:c r="E360" s="12" t="str">
        <x:v>KEMET</x:v>
      </x:c>
      <x:c r="F360" s="11" t="str">
        <x:v>0805</x:v>
      </x:c>
      <x:c r="G360" s="12" t="str">
        <x:v>SURFACE_MOUNT</x:v>
      </x:c>
      <x:c r="H360" s="12" t="str">
        <x:v>SELECTED_CATALOG_ITEM</x:v>
      </x:c>
      <x:c r="I360" s="12" t="str">
        <x:v>Не выпущено</x:v>
      </x:c>
      <x:c r="J360" s="33" t="str">
        <x:v>capacitance_pf: 100000; rated_voltage_v: 100; dielectric: X7R; tolerance_pct: 10; temperature_min_c: -55; temperature_max_c: 125</x:v>
      </x:c>
      <x:c r="K360" s="33" t="str">
        <x:v>https://www.mouser.com/datasheet/3/72/1/C0805C104K1RACTU.pdf</x:v>
      </x:c>
      <x:c r="L360" s="33" t="str"/>
    </x:row>
    <x:row r="361" ht="38" customHeight="1">
      <x:c r="A361" s="2" t="str">
        <x:v>C6200</x:v>
      </x:c>
      <x:c r="B361" s="2" t="str">
        <x:v>100n 100V X7R</x:v>
      </x:c>
      <x:c r="C361" s="2" t="str">
        <x:v>Да</x:v>
      </x:c>
      <x:c r="D361" s="8" t="str">
        <x:v>C0805C104K1RACTU</x:v>
      </x:c>
      <x:c r="E361" s="2" t="str">
        <x:v>KEMET</x:v>
      </x:c>
      <x:c r="F361" s="8" t="str">
        <x:v>0805</x:v>
      </x:c>
      <x:c r="G361" s="2" t="str">
        <x:v>SURFACE_MOUNT</x:v>
      </x:c>
      <x:c r="H361" s="2" t="str">
        <x:v>SELECTED_CATALOG_ITEM</x:v>
      </x:c>
      <x:c r="I361" s="2" t="str">
        <x:v>Не выпущено</x:v>
      </x:c>
      <x:c r="J361" s="31" t="str">
        <x:v>capacitance_pf: 100000; rated_voltage_v: 100; dielectric: X7R; tolerance_pct: 10; temperature_min_c: -55; temperature_max_c: 125</x:v>
      </x:c>
      <x:c r="K361" s="31" t="str">
        <x:v>https://www.mouser.com/datasheet/3/72/1/C0805C104K1RACTU.pdf</x:v>
      </x:c>
      <x:c r="L361" s="31" t="str"/>
    </x:row>
    <x:row r="362" ht="38" customHeight="1">
      <x:c r="A362" s="12" t="str">
        <x:v>C6201</x:v>
      </x:c>
      <x:c r="B362" s="12" t="str">
        <x:v>100n 25V X7R</x:v>
      </x:c>
      <x:c r="C362" s="12" t="str">
        <x:v>Да</x:v>
      </x:c>
      <x:c r="D362" s="11" t="str">
        <x:v>C0805C104K1RACTU</x:v>
      </x:c>
      <x:c r="E362" s="12" t="str">
        <x:v>KEMET</x:v>
      </x:c>
      <x:c r="F362" s="11" t="str">
        <x:v>0805</x:v>
      </x:c>
      <x:c r="G362" s="12" t="str">
        <x:v>SURFACE_MOUNT</x:v>
      </x:c>
      <x:c r="H362" s="12" t="str">
        <x:v>SELECTED_CATALOG_ITEM</x:v>
      </x:c>
      <x:c r="I362" s="12" t="str">
        <x:v>Не выпущено</x:v>
      </x:c>
      <x:c r="J362" s="33" t="str">
        <x:v>capacitance_pf: 100000; rated_voltage_v: 100; dielectric: X7R; tolerance_pct: 10; temperature_min_c: -55; temperature_max_c: 125</x:v>
      </x:c>
      <x:c r="K362" s="33" t="str">
        <x:v>https://www.mouser.com/datasheet/3/72/1/C0805C104K1RACTU.pdf</x:v>
      </x:c>
      <x:c r="L362" s="33" t="str"/>
    </x:row>
    <x:row r="363" ht="38" customHeight="1">
      <x:c r="A363" s="2" t="str">
        <x:v>C6202</x:v>
      </x:c>
      <x:c r="B363" s="2" t="str">
        <x:v>100n 100V X7R</x:v>
      </x:c>
      <x:c r="C363" s="2" t="str">
        <x:v>Да</x:v>
      </x:c>
      <x:c r="D363" s="8" t="str">
        <x:v>C0805C104K1RACTU</x:v>
      </x:c>
      <x:c r="E363" s="2" t="str">
        <x:v>KEMET</x:v>
      </x:c>
      <x:c r="F363" s="8" t="str">
        <x:v>0805</x:v>
      </x:c>
      <x:c r="G363" s="2" t="str">
        <x:v>SURFACE_MOUNT</x:v>
      </x:c>
      <x:c r="H363" s="2" t="str">
        <x:v>SELECTED_CATALOG_ITEM</x:v>
      </x:c>
      <x:c r="I363" s="2" t="str">
        <x:v>Не выпущено</x:v>
      </x:c>
      <x:c r="J363" s="31" t="str">
        <x:v>capacitance_pf: 100000; rated_voltage_v: 100; dielectric: X7R; tolerance_pct: 10; temperature_min_c: -55; temperature_max_c: 125</x:v>
      </x:c>
      <x:c r="K363" s="31" t="str">
        <x:v>https://www.mouser.com/datasheet/3/72/1/C0805C104K1RACTU.pdf</x:v>
      </x:c>
      <x:c r="L363" s="31" t="str"/>
    </x:row>
    <x:row r="364" ht="38" customHeight="1">
      <x:c r="A364" s="12" t="str">
        <x:v>C6203</x:v>
      </x:c>
      <x:c r="B364" s="12" t="str">
        <x:v>100n 50V X7R</x:v>
      </x:c>
      <x:c r="C364" s="12" t="str">
        <x:v>Да</x:v>
      </x:c>
      <x:c r="D364" s="11" t="str">
        <x:v>C0805C104K1RACTU</x:v>
      </x:c>
      <x:c r="E364" s="12" t="str">
        <x:v>KEMET</x:v>
      </x:c>
      <x:c r="F364" s="11" t="str">
        <x:v>0805</x:v>
      </x:c>
      <x:c r="G364" s="12" t="str">
        <x:v>SURFACE_MOUNT</x:v>
      </x:c>
      <x:c r="H364" s="12" t="str">
        <x:v>SELECTED_CATALOG_ITEM</x:v>
      </x:c>
      <x:c r="I364" s="12" t="str">
        <x:v>Не выпущено</x:v>
      </x:c>
      <x:c r="J364" s="33" t="str">
        <x:v>capacitance_pf: 100000; rated_voltage_v: 100; dielectric: X7R; tolerance_pct: 10; temperature_min_c: -55; temperature_max_c: 125</x:v>
      </x:c>
      <x:c r="K364" s="33" t="str">
        <x:v>https://www.mouser.com/datasheet/3/72/1/C0805C104K1RACTU.pdf</x:v>
      </x:c>
      <x:c r="L364" s="33" t="str"/>
    </x:row>
    <x:row r="365" ht="38" customHeight="1">
      <x:c r="A365" s="2" t="str">
        <x:v>C6204</x:v>
      </x:c>
      <x:c r="B365" s="2" t="str">
        <x:v>22n 100V X7R</x:v>
      </x:c>
      <x:c r="C365" s="2" t="str">
        <x:v>Да</x:v>
      </x:c>
      <x:c r="D365" s="8" t="str">
        <x:v>C0805C223K1RACTU</x:v>
      </x:c>
      <x:c r="E365" s="2" t="str">
        <x:v>KEMET</x:v>
      </x:c>
      <x:c r="F365" s="8" t="str">
        <x:v>0805</x:v>
      </x:c>
      <x:c r="G365" s="2" t="str">
        <x:v>SURFACE_MOUNT</x:v>
      </x:c>
      <x:c r="H365" s="2" t="str">
        <x:v>SELECTED_CATALOG_ITEM</x:v>
      </x:c>
      <x:c r="I365" s="2" t="str">
        <x:v>Не выпущено</x:v>
      </x:c>
      <x:c r="J365" s="31" t="str">
        <x:v>capacitance_pf: 22000; rated_voltage_v: 100; dielectric: X7R; tolerance_pct: 10; temperature_min_c: -55; temperature_max_c: 125</x:v>
      </x:c>
      <x:c r="K365" s="31" t="str">
        <x:v>https://www.tme.com/Document/1eb495a6db632c9d0f71cb50aeea4240/C0805C223K1RACTU.pdf</x:v>
      </x:c>
      <x:c r="L365" s="31" t="str"/>
    </x:row>
    <x:row r="366" ht="38" customHeight="1">
      <x:c r="A366" s="12" t="str">
        <x:v>C6250</x:v>
      </x:c>
      <x:c r="B366" s="12" t="str">
        <x:v>100n 100V X7R</x:v>
      </x:c>
      <x:c r="C366" s="12" t="str">
        <x:v>Да</x:v>
      </x:c>
      <x:c r="D366" s="11" t="str">
        <x:v>C0805C104K1RACTU</x:v>
      </x:c>
      <x:c r="E366" s="12" t="str">
        <x:v>KEMET</x:v>
      </x:c>
      <x:c r="F366" s="11" t="str">
        <x:v>0805</x:v>
      </x:c>
      <x:c r="G366" s="12" t="str">
        <x:v>SURFACE_MOUNT</x:v>
      </x:c>
      <x:c r="H366" s="12" t="str">
        <x:v>SELECTED_CATALOG_ITEM</x:v>
      </x:c>
      <x:c r="I366" s="12" t="str">
        <x:v>Не выпущено</x:v>
      </x:c>
      <x:c r="J366" s="33" t="str">
        <x:v>capacitance_pf: 100000; rated_voltage_v: 100; dielectric: X7R; tolerance_pct: 10; temperature_min_c: -55; temperature_max_c: 125</x:v>
      </x:c>
      <x:c r="K366" s="33" t="str">
        <x:v>https://www.mouser.com/datasheet/3/72/1/C0805C104K1RACTU.pdf</x:v>
      </x:c>
      <x:c r="L366" s="33" t="str"/>
    </x:row>
    <x:row r="367" ht="38" customHeight="1">
      <x:c r="A367" s="2" t="str">
        <x:v>C6251</x:v>
      </x:c>
      <x:c r="B367" s="2" t="str">
        <x:v>100n 25V X7R</x:v>
      </x:c>
      <x:c r="C367" s="2" t="str">
        <x:v>Да</x:v>
      </x:c>
      <x:c r="D367" s="8" t="str">
        <x:v>C0805C104K1RACTU</x:v>
      </x:c>
      <x:c r="E367" s="2" t="str">
        <x:v>KEMET</x:v>
      </x:c>
      <x:c r="F367" s="8" t="str">
        <x:v>0805</x:v>
      </x:c>
      <x:c r="G367" s="2" t="str">
        <x:v>SURFACE_MOUNT</x:v>
      </x:c>
      <x:c r="H367" s="2" t="str">
        <x:v>SELECTED_CATALOG_ITEM</x:v>
      </x:c>
      <x:c r="I367" s="2" t="str">
        <x:v>Не выпущено</x:v>
      </x:c>
      <x:c r="J367" s="31" t="str">
        <x:v>capacitance_pf: 100000; rated_voltage_v: 100; dielectric: X7R; tolerance_pct: 10; temperature_min_c: -55; temperature_max_c: 125</x:v>
      </x:c>
      <x:c r="K367" s="31" t="str">
        <x:v>https://www.mouser.com/datasheet/3/72/1/C0805C104K1RACTU.pdf</x:v>
      </x:c>
      <x:c r="L367" s="31" t="str"/>
    </x:row>
    <x:row r="368" ht="38" customHeight="1">
      <x:c r="A368" s="12" t="str">
        <x:v>C6252</x:v>
      </x:c>
      <x:c r="B368" s="12" t="str">
        <x:v>100n 100V X7R</x:v>
      </x:c>
      <x:c r="C368" s="12" t="str">
        <x:v>Да</x:v>
      </x:c>
      <x:c r="D368" s="11" t="str">
        <x:v>C0805C104K1RACTU</x:v>
      </x:c>
      <x:c r="E368" s="12" t="str">
        <x:v>KEMET</x:v>
      </x:c>
      <x:c r="F368" s="11" t="str">
        <x:v>0805</x:v>
      </x:c>
      <x:c r="G368" s="12" t="str">
        <x:v>SURFACE_MOUNT</x:v>
      </x:c>
      <x:c r="H368" s="12" t="str">
        <x:v>SELECTED_CATALOG_ITEM</x:v>
      </x:c>
      <x:c r="I368" s="12" t="str">
        <x:v>Не выпущено</x:v>
      </x:c>
      <x:c r="J368" s="33" t="str">
        <x:v>capacitance_pf: 100000; rated_voltage_v: 100; dielectric: X7R; tolerance_pct: 10; temperature_min_c: -55; temperature_max_c: 125</x:v>
      </x:c>
      <x:c r="K368" s="33" t="str">
        <x:v>https://www.mouser.com/datasheet/3/72/1/C0805C104K1RACTU.pdf</x:v>
      </x:c>
      <x:c r="L368" s="33" t="str"/>
    </x:row>
    <x:row r="369" ht="38" customHeight="1">
      <x:c r="A369" s="2" t="str">
        <x:v>C6253</x:v>
      </x:c>
      <x:c r="B369" s="2" t="str">
        <x:v>100n 50V X7R</x:v>
      </x:c>
      <x:c r="C369" s="2" t="str">
        <x:v>Да</x:v>
      </x:c>
      <x:c r="D369" s="8" t="str">
        <x:v>C0805C104K1RACTU</x:v>
      </x:c>
      <x:c r="E369" s="2" t="str">
        <x:v>KEMET</x:v>
      </x:c>
      <x:c r="F369" s="8" t="str">
        <x:v>0805</x:v>
      </x:c>
      <x:c r="G369" s="2" t="str">
        <x:v>SURFACE_MOUNT</x:v>
      </x:c>
      <x:c r="H369" s="2" t="str">
        <x:v>SELECTED_CATALOG_ITEM</x:v>
      </x:c>
      <x:c r="I369" s="2" t="str">
        <x:v>Не выпущено</x:v>
      </x:c>
      <x:c r="J369" s="31" t="str">
        <x:v>capacitance_pf: 100000; rated_voltage_v: 100; dielectric: X7R; tolerance_pct: 10; temperature_min_c: -55; temperature_max_c: 125</x:v>
      </x:c>
      <x:c r="K369" s="31" t="str">
        <x:v>https://www.mouser.com/datasheet/3/72/1/C0805C104K1RACTU.pdf</x:v>
      </x:c>
      <x:c r="L369" s="31" t="str"/>
    </x:row>
    <x:row r="370" ht="38" customHeight="1">
      <x:c r="A370" s="12" t="str">
        <x:v>C6254</x:v>
      </x:c>
      <x:c r="B370" s="12" t="str">
        <x:v>22n 100V X7R</x:v>
      </x:c>
      <x:c r="C370" s="12" t="str">
        <x:v>Да</x:v>
      </x:c>
      <x:c r="D370" s="11" t="str">
        <x:v>C0805C223K1RACTU</x:v>
      </x:c>
      <x:c r="E370" s="12" t="str">
        <x:v>KEMET</x:v>
      </x:c>
      <x:c r="F370" s="11" t="str">
        <x:v>0805</x:v>
      </x:c>
      <x:c r="G370" s="12" t="str">
        <x:v>SURFACE_MOUNT</x:v>
      </x:c>
      <x:c r="H370" s="12" t="str">
        <x:v>SELECTED_CATALOG_ITEM</x:v>
      </x:c>
      <x:c r="I370" s="12" t="str">
        <x:v>Не выпущено</x:v>
      </x:c>
      <x:c r="J370" s="33" t="str">
        <x:v>capacitance_pf: 22000; rated_voltage_v: 100; dielectric: X7R; tolerance_pct: 10; temperature_min_c: -55; temperature_max_c: 125</x:v>
      </x:c>
      <x:c r="K370" s="33" t="str">
        <x:v>https://www.tme.com/Document/1eb495a6db632c9d0f71cb50aeea4240/C0805C223K1RACTU.pdf</x:v>
      </x:c>
      <x:c r="L370" s="33" t="str"/>
    </x:row>
    <x:row r="371" ht="38" customHeight="1">
      <x:c r="A371" s="2" t="str">
        <x:v>D101</x:v>
      </x:c>
      <x:c r="B371" s="2" t="str">
        <x:v>PESD2CAN</x:v>
      </x:c>
      <x:c r="C371" s="2" t="str">
        <x:v>Да</x:v>
      </x:c>
      <x:c r="D371" s="8" t="str">
        <x:v>PESD2CAN,215</x:v>
      </x:c>
      <x:c r="E371" s="2" t="str">
        <x:v>Nexperia</x:v>
      </x:c>
      <x:c r="F371" s="8" t="str">
        <x:v>SOT-23</x:v>
      </x:c>
      <x:c r="G371" s="2" t="str">
        <x:v>SURFACE_MOUNT</x:v>
      </x:c>
      <x:c r="H371" s="2" t="str">
        <x:v>REFERENCE_MPN_RETAINED</x:v>
      </x:c>
      <x:c r="I371" s="2" t="str">
        <x:v>Не выпущено</x:v>
      </x:c>
      <x:c r="J371" s="31" t="str"/>
      <x:c r="K371" s="31" t="str">
        <x:v>https://www.nexperia.com/product/PESD2CAN</x:v>
      </x:c>
      <x:c r="L371" s="31" t="str">
        <x:v>Existing schematic MPN retained. Complete circuit rating/temperature and package signoff is still required.</x:v>
      </x:c>
    </x:row>
    <x:row r="372" ht="38" customHeight="1">
      <x:c r="A372" s="12" t="str">
        <x:v>D102</x:v>
      </x:c>
      <x:c r="B372" s="12" t="str">
        <x:v>BAS21,215</x:v>
      </x:c>
      <x:c r="C372" s="12" t="str">
        <x:v>Да</x:v>
      </x:c>
      <x:c r="D372" s="11" t="str">
        <x:v>BAS21,215</x:v>
      </x:c>
      <x:c r="E372" s="12" t="str">
        <x:v>Nexperia</x:v>
      </x:c>
      <x:c r="F372" s="11" t="str">
        <x:v>SOT-23</x:v>
      </x:c>
      <x:c r="G372" s="12" t="str">
        <x:v>SURFACE_MOUNT</x:v>
      </x:c>
      <x:c r="H372" s="12" t="str">
        <x:v>REFERENCE_MPN_RETAINED</x:v>
      </x:c>
      <x:c r="I372" s="12" t="str">
        <x:v>Не выпущено</x:v>
      </x:c>
      <x:c r="J372" s="33" t="str"/>
      <x:c r="K372" s="33" t="str">
        <x:v>https://www.nexperia.com/product/BAS21</x:v>
      </x:c>
      <x:c r="L372" s="33" t="str">
        <x:v>Existing schematic MPN retained. Complete circuit rating/temperature and package signoff is still required.</x:v>
      </x:c>
    </x:row>
    <x:row r="373" ht="38" customHeight="1">
      <x:c r="A373" s="2" t="str">
        <x:v>D201</x:v>
      </x:c>
      <x:c r="B373" s="2" t="str">
        <x:v>STPS2H100UY</x:v>
      </x:c>
      <x:c r="C373" s="2" t="str">
        <x:v>Да</x:v>
      </x:c>
      <x:c r="D373" s="8" t="str">
        <x:v>STPS2H100UY</x:v>
      </x:c>
      <x:c r="E373" s="2" t="str">
        <x:v>STMicroelectronics</x:v>
      </x:c>
      <x:c r="F373" s="8" t="str">
        <x:v>D_SMB</x:v>
      </x:c>
      <x:c r="G373" s="2" t="str">
        <x:v>SURFACE_MOUNT</x:v>
      </x:c>
      <x:c r="H373" s="2" t="str">
        <x:v>REFERENCE_MPN_RETAINED</x:v>
      </x:c>
      <x:c r="I373" s="2" t="str">
        <x:v>Не выпущено</x:v>
      </x:c>
      <x:c r="J373" s="31" t="str"/>
      <x:c r="K373" s="31" t="str">
        <x:v>https://www.st.com/en/search.html#q=STPS2H100UY</x:v>
      </x:c>
      <x:c r="L373" s="31" t="str">
        <x:v>Existing schematic MPN retained. Complete circuit rating/temperature and package signoff is still required.</x:v>
      </x:c>
    </x:row>
    <x:row r="374" ht="38" customHeight="1">
      <x:c r="A374" s="12" t="str">
        <x:v>D202</x:v>
      </x:c>
      <x:c r="B374" s="12" t="str">
        <x:v>SBR10200CTL</x:v>
      </x:c>
      <x:c r="C374" s="12" t="str">
        <x:v>Да</x:v>
      </x:c>
      <x:c r="D374" s="11" t="str">
        <x:v>SBR10200CTL-13</x:v>
      </x:c>
      <x:c r="E374" s="12" t="str">
        <x:v>Diodes Incorporated</x:v>
      </x:c>
      <x:c r="F374" s="11" t="str">
        <x:v>TO-252-2</x:v>
      </x:c>
      <x:c r="G374" s="12" t="str">
        <x:v>SURFACE_MOUNT</x:v>
      </x:c>
      <x:c r="H374" s="12" t="str">
        <x:v>SELECTED_CONDITIONAL</x:v>
      </x:c>
      <x:c r="I374" s="12" t="str">
        <x:v>Не выпущено</x:v>
      </x:c>
      <x:c r="J374" s="33" t="str">
        <x:v>vrrm_v: 200; if_average_total_a: 10; ifsm_a: 110; configuration: dual common cathode; pinout: 1 anode;2 and tab common cathode;3 anode; qrr_nc: None; tj_max_c: 150</x:v>
      </x:c>
      <x:c r="K374" s="33" t="str">
        <x:v>https://www.diodes.com/part/view/SBR10200CTL; https://www.diodes.com/datasheet/download/SBR10200CTL.pdf</x:v>
      </x:c>
      <x:c r="L374" s="33" t="str">
        <x:v>Qrr/commutation and actual diode temperature at DI duty not qualified; IFSM is nonrepetitive catalog rating.</x:v>
      </x:c>
    </x:row>
    <x:row r="375" ht="38" customHeight="1">
      <x:c r="A375" s="2" t="str">
        <x:v>D203</x:v>
      </x:c>
      <x:c r="B375" s="2" t="str">
        <x:v>SBR10200CTL</x:v>
      </x:c>
      <x:c r="C375" s="2" t="str">
        <x:v>Да</x:v>
      </x:c>
      <x:c r="D375" s="8" t="str">
        <x:v>SBR10200CTL-13</x:v>
      </x:c>
      <x:c r="E375" s="2" t="str">
        <x:v>Diodes Incorporated</x:v>
      </x:c>
      <x:c r="F375" s="8" t="str">
        <x:v>TO-252-2</x:v>
      </x:c>
      <x:c r="G375" s="2" t="str">
        <x:v>SURFACE_MOUNT</x:v>
      </x:c>
      <x:c r="H375" s="2" t="str">
        <x:v>SELECTED_CONDITIONAL</x:v>
      </x:c>
      <x:c r="I375" s="2" t="str">
        <x:v>Не выпущено</x:v>
      </x:c>
      <x:c r="J375" s="31" t="str">
        <x:v>vrrm_v: 200; if_average_total_a: 10; ifsm_a: 110; configuration: dual common cathode; pinout: 1 anode;2 and tab common cathode;3 anode; qrr_nc: None; tj_max_c: 150</x:v>
      </x:c>
      <x:c r="K375" s="31" t="str">
        <x:v>https://www.diodes.com/part/view/SBR10200CTL; https://www.diodes.com/datasheet/download/SBR10200CTL.pdf</x:v>
      </x:c>
      <x:c r="L375" s="31" t="str">
        <x:v>Qrr/commutation and actual diode temperature at DI duty not qualified; IFSM is nonrepetitive catalog rating.</x:v>
      </x:c>
    </x:row>
    <x:row r="376" ht="38" customHeight="1">
      <x:c r="A376" s="12" t="str">
        <x:v>D204</x:v>
      </x:c>
      <x:c r="B376" s="12" t="str">
        <x:v>STPS2H100UY</x:v>
      </x:c>
      <x:c r="C376" s="12" t="str">
        <x:v>Да</x:v>
      </x:c>
      <x:c r="D376" s="11" t="str">
        <x:v>STPS2H100UY</x:v>
      </x:c>
      <x:c r="E376" s="12" t="str">
        <x:v>STMicroelectronics</x:v>
      </x:c>
      <x:c r="F376" s="11" t="str">
        <x:v>D_SMB</x:v>
      </x:c>
      <x:c r="G376" s="12" t="str">
        <x:v>SURFACE_MOUNT</x:v>
      </x:c>
      <x:c r="H376" s="12" t="str">
        <x:v>REFERENCE_MPN_RETAINED</x:v>
      </x:c>
      <x:c r="I376" s="12" t="str">
        <x:v>Не выпущено</x:v>
      </x:c>
      <x:c r="J376" s="33" t="str"/>
      <x:c r="K376" s="33" t="str">
        <x:v>https://www.st.com/en/search.html#q=STPS2H100UY</x:v>
      </x:c>
      <x:c r="L376" s="33" t="str">
        <x:v>Existing schematic MPN retained. Complete circuit rating/temperature and package signoff is still required.</x:v>
      </x:c>
    </x:row>
    <x:row r="377" ht="38" customHeight="1">
      <x:c r="A377" s="2" t="str">
        <x:v>D205</x:v>
      </x:c>
      <x:c r="B377" s="2" t="str">
        <x:v>STPS2H100UY</x:v>
      </x:c>
      <x:c r="C377" s="2" t="str">
        <x:v>Да</x:v>
      </x:c>
      <x:c r="D377" s="8" t="str">
        <x:v>STPS2H100UY</x:v>
      </x:c>
      <x:c r="E377" s="2" t="str">
        <x:v>STMicroelectronics</x:v>
      </x:c>
      <x:c r="F377" s="8" t="str">
        <x:v>D_SMB</x:v>
      </x:c>
      <x:c r="G377" s="2" t="str">
        <x:v>SURFACE_MOUNT</x:v>
      </x:c>
      <x:c r="H377" s="2" t="str">
        <x:v>REFERENCE_MPN_RETAINED</x:v>
      </x:c>
      <x:c r="I377" s="2" t="str">
        <x:v>Не выпущено</x:v>
      </x:c>
      <x:c r="J377" s="31" t="str"/>
      <x:c r="K377" s="31" t="str">
        <x:v>https://www.st.com/en/search.html#q=STPS2H100UY</x:v>
      </x:c>
      <x:c r="L377" s="31" t="str">
        <x:v>Existing schematic MPN retained. Complete circuit rating/temperature and package signoff is still required.</x:v>
      </x:c>
    </x:row>
    <x:row r="378" ht="38" customHeight="1">
      <x:c r="A378" s="12" t="str">
        <x:v>D207</x:v>
      </x:c>
      <x:c r="B378" s="12" t="str">
        <x:v>STPS2H100UY</x:v>
      </x:c>
      <x:c r="C378" s="12" t="str">
        <x:v>Да</x:v>
      </x:c>
      <x:c r="D378" s="11" t="str">
        <x:v>STPS2H100UY</x:v>
      </x:c>
      <x:c r="E378" s="12" t="str">
        <x:v>STMicroelectronics</x:v>
      </x:c>
      <x:c r="F378" s="11" t="str">
        <x:v>D_SMB</x:v>
      </x:c>
      <x:c r="G378" s="12" t="str">
        <x:v>SURFACE_MOUNT</x:v>
      </x:c>
      <x:c r="H378" s="12" t="str">
        <x:v>REFERENCE_MPN_RETAINED</x:v>
      </x:c>
      <x:c r="I378" s="12" t="str">
        <x:v>Не выпущено</x:v>
      </x:c>
      <x:c r="J378" s="33" t="str"/>
      <x:c r="K378" s="33" t="str">
        <x:v>https://www.st.com/en/search.html#q=STPS2H100UY</x:v>
      </x:c>
      <x:c r="L378" s="33" t="str">
        <x:v>Existing schematic MPN retained. Complete circuit rating/temperature and package signoff is still required.</x:v>
      </x:c>
    </x:row>
    <x:row r="379" ht="38" customHeight="1">
      <x:c r="A379" s="2" t="str">
        <x:v>D208</x:v>
      </x:c>
      <x:c r="B379" s="2" t="str">
        <x:v>STPS2H100UY</x:v>
      </x:c>
      <x:c r="C379" s="2" t="str">
        <x:v>Да</x:v>
      </x:c>
      <x:c r="D379" s="8" t="str">
        <x:v>STPS2H100UY</x:v>
      </x:c>
      <x:c r="E379" s="2" t="str">
        <x:v>STMicroelectronics</x:v>
      </x:c>
      <x:c r="F379" s="8" t="str">
        <x:v>D_SMB</x:v>
      </x:c>
      <x:c r="G379" s="2" t="str">
        <x:v>SURFACE_MOUNT</x:v>
      </x:c>
      <x:c r="H379" s="2" t="str">
        <x:v>REFERENCE_MPN_RETAINED</x:v>
      </x:c>
      <x:c r="I379" s="2" t="str">
        <x:v>Не выпущено</x:v>
      </x:c>
      <x:c r="J379" s="31" t="str"/>
      <x:c r="K379" s="31" t="str">
        <x:v>https://www.st.com/en/search.html#q=STPS2H100UY</x:v>
      </x:c>
      <x:c r="L379" s="31" t="str">
        <x:v>Existing schematic MPN retained. Complete circuit rating/temperature and package signoff is still required.</x:v>
      </x:c>
    </x:row>
    <x:row r="380" ht="38" customHeight="1">
      <x:c r="A380" s="12" t="str">
        <x:v>D209</x:v>
      </x:c>
      <x:c r="B380" s="12" t="str">
        <x:v>STPS2H100UY</x:v>
      </x:c>
      <x:c r="C380" s="12" t="str">
        <x:v>Да</x:v>
      </x:c>
      <x:c r="D380" s="11" t="str">
        <x:v>STPS2H100UY</x:v>
      </x:c>
      <x:c r="E380" s="12" t="str">
        <x:v>STMicroelectronics</x:v>
      </x:c>
      <x:c r="F380" s="11" t="str">
        <x:v>D_SMB</x:v>
      </x:c>
      <x:c r="G380" s="12" t="str">
        <x:v>SURFACE_MOUNT</x:v>
      </x:c>
      <x:c r="H380" s="12" t="str">
        <x:v>REFERENCE_MPN_RETAINED</x:v>
      </x:c>
      <x:c r="I380" s="12" t="str">
        <x:v>Не выпущено</x:v>
      </x:c>
      <x:c r="J380" s="33" t="str"/>
      <x:c r="K380" s="33" t="str">
        <x:v>https://www.st.com/en/search.html#q=STPS2H100UY</x:v>
      </x:c>
      <x:c r="L380" s="33" t="str">
        <x:v>Existing schematic MPN retained. Complete circuit rating/temperature and package signoff is still required.</x:v>
      </x:c>
    </x:row>
    <x:row r="381" ht="38" customHeight="1">
      <x:c r="A381" s="2" t="str">
        <x:v>D210</x:v>
      </x:c>
      <x:c r="B381" s="2" t="str">
        <x:v>STPS2H100UY</x:v>
      </x:c>
      <x:c r="C381" s="2" t="str">
        <x:v>Да</x:v>
      </x:c>
      <x:c r="D381" s="8" t="str">
        <x:v>STPS2H100UY</x:v>
      </x:c>
      <x:c r="E381" s="2" t="str">
        <x:v>STMicroelectronics</x:v>
      </x:c>
      <x:c r="F381" s="8" t="str">
        <x:v>D_SMB</x:v>
      </x:c>
      <x:c r="G381" s="2" t="str">
        <x:v>SURFACE_MOUNT</x:v>
      </x:c>
      <x:c r="H381" s="2" t="str">
        <x:v>REFERENCE_MPN_RETAINED</x:v>
      </x:c>
      <x:c r="I381" s="2" t="str">
        <x:v>Не выпущено</x:v>
      </x:c>
      <x:c r="J381" s="31" t="str"/>
      <x:c r="K381" s="31" t="str">
        <x:v>https://www.st.com/en/search.html#q=STPS2H100UY</x:v>
      </x:c>
      <x:c r="L381" s="31" t="str">
        <x:v>Existing schematic MPN retained. Complete circuit rating/temperature and package signoff is still required.</x:v>
      </x:c>
    </x:row>
    <x:row r="382" ht="38" customHeight="1">
      <x:c r="A382" s="12" t="str">
        <x:v>D211</x:v>
      </x:c>
      <x:c r="B382" s="12" t="str">
        <x:v>LED_Small</x:v>
      </x:c>
      <x:c r="C382" s="12" t="str">
        <x:v>Да</x:v>
      </x:c>
      <x:c r="D382" s="11" t="str">
        <x:v>KT-0805Y</x:v>
      </x:c>
      <x:c r="E382" s="12" t="str">
        <x:v>Hubei KENTO Electronics</x:v>
      </x:c>
      <x:c r="F382" s="11" t="str">
        <x:v>0805</x:v>
      </x:c>
      <x:c r="G382" s="12" t="str">
        <x:v>SURFACE_MOUNT</x:v>
      </x:c>
      <x:c r="H382" s="12" t="str">
        <x:v>SELECTED_CONDITIONAL</x:v>
      </x:c>
      <x:c r="I382" s="12" t="str">
        <x:v>Не выпущено</x:v>
      </x:c>
      <x:c r="J382" s="33" t="str">
        <x:v>color: yellow; package: 0805</x:v>
      </x:c>
      <x:c r="K382" s="33" t="str">
        <x:v>https://www.lcsc.com/product-detail/C2296.html</x:v>
      </x:c>
      <x:c r="L382" s="33" t="str">
        <x:v>Source identity retained; forward current, temperature and polarity require datasheet check.</x:v>
      </x:c>
    </x:row>
    <x:row r="383" ht="38" customHeight="1">
      <x:c r="A383" s="2" t="str">
        <x:v>D212</x:v>
      </x:c>
      <x:c r="B383" s="2" t="str">
        <x:v>SDURB1020CT</x:v>
      </x:c>
      <x:c r="C383" s="2" t="str">
        <x:v>Да</x:v>
      </x:c>
      <x:c r="D383" s="8" t="str">
        <x:v>SDURB1020CT</x:v>
      </x:c>
      <x:c r="E383" s="2" t="str">
        <x:v>SMC Diode Solutions</x:v>
      </x:c>
      <x:c r="F383" s="8" t="str">
        <x:v>TO-263-2</x:v>
      </x:c>
      <x:c r="G383" s="2" t="str">
        <x:v>SURFACE_MOUNT</x:v>
      </x:c>
      <x:c r="H383" s="2" t="str">
        <x:v>SELECTED_CONDITIONAL</x:v>
      </x:c>
      <x:c r="I383" s="2" t="str">
        <x:v>Не выпущено</x:v>
      </x:c>
      <x:c r="J383" s="31" t="str">
        <x:v>vrrm_v: 200; if_average_total_a: 10; configuration: dual common cathode; pinout: 1 anode;2 and tab common cathode;3 anode; ifsm_a: None; qrr_nc: None; tj_max_c: None</x:v>
      </x:c>
      <x:c r="K383" s="31" t="str">
        <x:v>https://www.digikey.com/en/products/detail/smc-diode-solutions/SDURB1020CT/6022622</x:v>
      </x:c>
      <x:c r="L383" s="31" t="str">
        <x:v>DigiKey source only offered MOQ800 full reel in price review. Small-quantity procurement unresolved; do not substitute DPAK or single diode. IFSM/Qrr/thermal margin require manufacturer review.</x:v>
      </x:c>
    </x:row>
    <x:row r="384" ht="38" customHeight="1">
      <x:c r="A384" s="12" t="str">
        <x:v>D301</x:v>
      </x:c>
      <x:c r="B384" s="12" t="str">
        <x:v>STPS2H100UY</x:v>
      </x:c>
      <x:c r="C384" s="12" t="str">
        <x:v>Да</x:v>
      </x:c>
      <x:c r="D384" s="11" t="str">
        <x:v>STPS2H100UY</x:v>
      </x:c>
      <x:c r="E384" s="12" t="str">
        <x:v>STMicroelectronics</x:v>
      </x:c>
      <x:c r="F384" s="11" t="str">
        <x:v>D_SMB</x:v>
      </x:c>
      <x:c r="G384" s="12" t="str">
        <x:v>SURFACE_MOUNT</x:v>
      </x:c>
      <x:c r="H384" s="12" t="str">
        <x:v>REFERENCE_MPN_RETAINED</x:v>
      </x:c>
      <x:c r="I384" s="12" t="str">
        <x:v>Не выпущено</x:v>
      </x:c>
      <x:c r="J384" s="33" t="str"/>
      <x:c r="K384" s="33" t="str">
        <x:v>https://www.st.com/en/search.html#q=STPS2H100UY</x:v>
      </x:c>
      <x:c r="L384" s="33" t="str">
        <x:v>Existing schematic MPN retained. Complete circuit rating/temperature and package signoff is still required.</x:v>
      </x:c>
    </x:row>
    <x:row r="385" ht="38" customHeight="1">
      <x:c r="A385" s="2" t="str">
        <x:v>D302</x:v>
      </x:c>
      <x:c r="B385" s="2" t="str">
        <x:v>SBR10200CTL</x:v>
      </x:c>
      <x:c r="C385" s="2" t="str">
        <x:v>Да</x:v>
      </x:c>
      <x:c r="D385" s="8" t="str">
        <x:v>SBR10200CTL-13</x:v>
      </x:c>
      <x:c r="E385" s="2" t="str">
        <x:v>Diodes Incorporated</x:v>
      </x:c>
      <x:c r="F385" s="8" t="str">
        <x:v>TO-252-2</x:v>
      </x:c>
      <x:c r="G385" s="2" t="str">
        <x:v>SURFACE_MOUNT</x:v>
      </x:c>
      <x:c r="H385" s="2" t="str">
        <x:v>SELECTED_CONDITIONAL</x:v>
      </x:c>
      <x:c r="I385" s="2" t="str">
        <x:v>Не выпущено</x:v>
      </x:c>
      <x:c r="J385" s="31" t="str">
        <x:v>vrrm_v: 200; if_average_total_a: 10; ifsm_a: 110; configuration: dual common cathode; pinout: 1 anode;2 and tab common cathode;3 anode; qrr_nc: None; tj_max_c: 150</x:v>
      </x:c>
      <x:c r="K385" s="31" t="str">
        <x:v>https://www.diodes.com/part/view/SBR10200CTL; https://www.diodes.com/datasheet/download/SBR10200CTL.pdf</x:v>
      </x:c>
      <x:c r="L385" s="31" t="str">
        <x:v>Qrr/commutation and actual diode temperature at DI duty not qualified; IFSM is nonrepetitive catalog rating.</x:v>
      </x:c>
    </x:row>
    <x:row r="386" ht="38" customHeight="1">
      <x:c r="A386" s="12" t="str">
        <x:v>D303</x:v>
      </x:c>
      <x:c r="B386" s="12" t="str">
        <x:v>SBR10200CTL</x:v>
      </x:c>
      <x:c r="C386" s="12" t="str">
        <x:v>Да</x:v>
      </x:c>
      <x:c r="D386" s="11" t="str">
        <x:v>SBR10200CTL-13</x:v>
      </x:c>
      <x:c r="E386" s="12" t="str">
        <x:v>Diodes Incorporated</x:v>
      </x:c>
      <x:c r="F386" s="11" t="str">
        <x:v>TO-252-2</x:v>
      </x:c>
      <x:c r="G386" s="12" t="str">
        <x:v>SURFACE_MOUNT</x:v>
      </x:c>
      <x:c r="H386" s="12" t="str">
        <x:v>SELECTED_CONDITIONAL</x:v>
      </x:c>
      <x:c r="I386" s="12" t="str">
        <x:v>Не выпущено</x:v>
      </x:c>
      <x:c r="J386" s="33" t="str">
        <x:v>vrrm_v: 200; if_average_total_a: 10; ifsm_a: 110; configuration: dual common cathode; pinout: 1 anode;2 and tab common cathode;3 anode; qrr_nc: None; tj_max_c: 150</x:v>
      </x:c>
      <x:c r="K386" s="33" t="str">
        <x:v>https://www.diodes.com/part/view/SBR10200CTL; https://www.diodes.com/datasheet/download/SBR10200CTL.pdf</x:v>
      </x:c>
      <x:c r="L386" s="33" t="str">
        <x:v>Qrr/commutation and actual diode temperature at DI duty not qualified; IFSM is nonrepetitive catalog rating.</x:v>
      </x:c>
    </x:row>
    <x:row r="387" ht="38" customHeight="1">
      <x:c r="A387" s="2" t="str">
        <x:v>D304</x:v>
      </x:c>
      <x:c r="B387" s="2" t="str">
        <x:v>STPS2H100UY</x:v>
      </x:c>
      <x:c r="C387" s="2" t="str">
        <x:v>Да</x:v>
      </x:c>
      <x:c r="D387" s="8" t="str">
        <x:v>STPS2H100UY</x:v>
      </x:c>
      <x:c r="E387" s="2" t="str">
        <x:v>STMicroelectronics</x:v>
      </x:c>
      <x:c r="F387" s="8" t="str">
        <x:v>D_SMB</x:v>
      </x:c>
      <x:c r="G387" s="2" t="str">
        <x:v>SURFACE_MOUNT</x:v>
      </x:c>
      <x:c r="H387" s="2" t="str">
        <x:v>REFERENCE_MPN_RETAINED</x:v>
      </x:c>
      <x:c r="I387" s="2" t="str">
        <x:v>Не выпущено</x:v>
      </x:c>
      <x:c r="J387" s="31" t="str"/>
      <x:c r="K387" s="31" t="str">
        <x:v>https://www.st.com/en/search.html#q=STPS2H100UY</x:v>
      </x:c>
      <x:c r="L387" s="31" t="str">
        <x:v>Existing schematic MPN retained. Complete circuit rating/temperature and package signoff is still required.</x:v>
      </x:c>
    </x:row>
    <x:row r="388" ht="38" customHeight="1">
      <x:c r="A388" s="12" t="str">
        <x:v>D305</x:v>
      </x:c>
      <x:c r="B388" s="12" t="str">
        <x:v>STPS2H100UY</x:v>
      </x:c>
      <x:c r="C388" s="12" t="str">
        <x:v>Да</x:v>
      </x:c>
      <x:c r="D388" s="11" t="str">
        <x:v>STPS2H100UY</x:v>
      </x:c>
      <x:c r="E388" s="12" t="str">
        <x:v>STMicroelectronics</x:v>
      </x:c>
      <x:c r="F388" s="11" t="str">
        <x:v>D_SMB</x:v>
      </x:c>
      <x:c r="G388" s="12" t="str">
        <x:v>SURFACE_MOUNT</x:v>
      </x:c>
      <x:c r="H388" s="12" t="str">
        <x:v>REFERENCE_MPN_RETAINED</x:v>
      </x:c>
      <x:c r="I388" s="12" t="str">
        <x:v>Не выпущено</x:v>
      </x:c>
      <x:c r="J388" s="33" t="str"/>
      <x:c r="K388" s="33" t="str">
        <x:v>https://www.st.com/en/search.html#q=STPS2H100UY</x:v>
      </x:c>
      <x:c r="L388" s="33" t="str">
        <x:v>Existing schematic MPN retained. Complete circuit rating/temperature and package signoff is still required.</x:v>
      </x:c>
    </x:row>
    <x:row r="389" ht="38" customHeight="1">
      <x:c r="A389" s="2" t="str">
        <x:v>D307</x:v>
      </x:c>
      <x:c r="B389" s="2" t="str">
        <x:v>STPS2H100UY</x:v>
      </x:c>
      <x:c r="C389" s="2" t="str">
        <x:v>Да</x:v>
      </x:c>
      <x:c r="D389" s="8" t="str">
        <x:v>STPS2H100UY</x:v>
      </x:c>
      <x:c r="E389" s="2" t="str">
        <x:v>STMicroelectronics</x:v>
      </x:c>
      <x:c r="F389" s="8" t="str">
        <x:v>D_SMB</x:v>
      </x:c>
      <x:c r="G389" s="2" t="str">
        <x:v>SURFACE_MOUNT</x:v>
      </x:c>
      <x:c r="H389" s="2" t="str">
        <x:v>REFERENCE_MPN_RETAINED</x:v>
      </x:c>
      <x:c r="I389" s="2" t="str">
        <x:v>Не выпущено</x:v>
      </x:c>
      <x:c r="J389" s="31" t="str"/>
      <x:c r="K389" s="31" t="str">
        <x:v>https://www.st.com/en/search.html#q=STPS2H100UY</x:v>
      </x:c>
      <x:c r="L389" s="31" t="str">
        <x:v>Existing schematic MPN retained. Complete circuit rating/temperature and package signoff is still required.</x:v>
      </x:c>
    </x:row>
    <x:row r="390" ht="38" customHeight="1">
      <x:c r="A390" s="12" t="str">
        <x:v>D308</x:v>
      </x:c>
      <x:c r="B390" s="12" t="str">
        <x:v>STPS2H100UY</x:v>
      </x:c>
      <x:c r="C390" s="12" t="str">
        <x:v>Да</x:v>
      </x:c>
      <x:c r="D390" s="11" t="str">
        <x:v>STPS2H100UY</x:v>
      </x:c>
      <x:c r="E390" s="12" t="str">
        <x:v>STMicroelectronics</x:v>
      </x:c>
      <x:c r="F390" s="11" t="str">
        <x:v>D_SMB</x:v>
      </x:c>
      <x:c r="G390" s="12" t="str">
        <x:v>SURFACE_MOUNT</x:v>
      </x:c>
      <x:c r="H390" s="12" t="str">
        <x:v>REFERENCE_MPN_RETAINED</x:v>
      </x:c>
      <x:c r="I390" s="12" t="str">
        <x:v>Не выпущено</x:v>
      </x:c>
      <x:c r="J390" s="33" t="str"/>
      <x:c r="K390" s="33" t="str">
        <x:v>https://www.st.com/en/search.html#q=STPS2H100UY</x:v>
      </x:c>
      <x:c r="L390" s="33" t="str">
        <x:v>Existing schematic MPN retained. Complete circuit rating/temperature and package signoff is still required.</x:v>
      </x:c>
    </x:row>
    <x:row r="391" ht="38" customHeight="1">
      <x:c r="A391" s="2" t="str">
        <x:v>D309</x:v>
      </x:c>
      <x:c r="B391" s="2" t="str">
        <x:v>STPS2H100UY</x:v>
      </x:c>
      <x:c r="C391" s="2" t="str">
        <x:v>Да</x:v>
      </x:c>
      <x:c r="D391" s="8" t="str">
        <x:v>STPS2H100UY</x:v>
      </x:c>
      <x:c r="E391" s="2" t="str">
        <x:v>STMicroelectronics</x:v>
      </x:c>
      <x:c r="F391" s="8" t="str">
        <x:v>D_SMB</x:v>
      </x:c>
      <x:c r="G391" s="2" t="str">
        <x:v>SURFACE_MOUNT</x:v>
      </x:c>
      <x:c r="H391" s="2" t="str">
        <x:v>REFERENCE_MPN_RETAINED</x:v>
      </x:c>
      <x:c r="I391" s="2" t="str">
        <x:v>Не выпущено</x:v>
      </x:c>
      <x:c r="J391" s="31" t="str"/>
      <x:c r="K391" s="31" t="str">
        <x:v>https://www.st.com/en/search.html#q=STPS2H100UY</x:v>
      </x:c>
      <x:c r="L391" s="31" t="str">
        <x:v>Existing schematic MPN retained. Complete circuit rating/temperature and package signoff is still required.</x:v>
      </x:c>
    </x:row>
    <x:row r="392" ht="38" customHeight="1">
      <x:c r="A392" s="12" t="str">
        <x:v>D310</x:v>
      </x:c>
      <x:c r="B392" s="12" t="str">
        <x:v>STPS2H100UY</x:v>
      </x:c>
      <x:c r="C392" s="12" t="str">
        <x:v>Да</x:v>
      </x:c>
      <x:c r="D392" s="11" t="str">
        <x:v>STPS2H100UY</x:v>
      </x:c>
      <x:c r="E392" s="12" t="str">
        <x:v>STMicroelectronics</x:v>
      </x:c>
      <x:c r="F392" s="11" t="str">
        <x:v>D_SMB</x:v>
      </x:c>
      <x:c r="G392" s="12" t="str">
        <x:v>SURFACE_MOUNT</x:v>
      </x:c>
      <x:c r="H392" s="12" t="str">
        <x:v>REFERENCE_MPN_RETAINED</x:v>
      </x:c>
      <x:c r="I392" s="12" t="str">
        <x:v>Не выпущено</x:v>
      </x:c>
      <x:c r="J392" s="33" t="str"/>
      <x:c r="K392" s="33" t="str">
        <x:v>https://www.st.com/en/search.html#q=STPS2H100UY</x:v>
      </x:c>
      <x:c r="L392" s="33" t="str">
        <x:v>Existing schematic MPN retained. Complete circuit rating/temperature and package signoff is still required.</x:v>
      </x:c>
    </x:row>
    <x:row r="393" ht="38" customHeight="1">
      <x:c r="A393" s="2" t="str">
        <x:v>D311</x:v>
      </x:c>
      <x:c r="B393" s="2" t="str">
        <x:v>LED_Small</x:v>
      </x:c>
      <x:c r="C393" s="2" t="str">
        <x:v>Да</x:v>
      </x:c>
      <x:c r="D393" s="8" t="str">
        <x:v>KT-0805Y</x:v>
      </x:c>
      <x:c r="E393" s="2" t="str">
        <x:v>Hubei KENTO Electronics</x:v>
      </x:c>
      <x:c r="F393" s="8" t="str">
        <x:v>0805</x:v>
      </x:c>
      <x:c r="G393" s="2" t="str">
        <x:v>SURFACE_MOUNT</x:v>
      </x:c>
      <x:c r="H393" s="2" t="str">
        <x:v>SELECTED_CONDITIONAL</x:v>
      </x:c>
      <x:c r="I393" s="2" t="str">
        <x:v>Не выпущено</x:v>
      </x:c>
      <x:c r="J393" s="31" t="str">
        <x:v>color: yellow; package: 0805</x:v>
      </x:c>
      <x:c r="K393" s="31" t="str">
        <x:v>https://www.lcsc.com/product-detail/C2296.html</x:v>
      </x:c>
      <x:c r="L393" s="31" t="str">
        <x:v>Source identity retained; forward current, temperature and polarity require datasheet check.</x:v>
      </x:c>
    </x:row>
    <x:row r="394" ht="38" customHeight="1">
      <x:c r="A394" s="12" t="str">
        <x:v>D312</x:v>
      </x:c>
      <x:c r="B394" s="12" t="str">
        <x:v>SDURB1020CT</x:v>
      </x:c>
      <x:c r="C394" s="12" t="str">
        <x:v>Да</x:v>
      </x:c>
      <x:c r="D394" s="11" t="str">
        <x:v>SDURB1020CT</x:v>
      </x:c>
      <x:c r="E394" s="12" t="str">
        <x:v>SMC Diode Solutions</x:v>
      </x:c>
      <x:c r="F394" s="11" t="str">
        <x:v>TO-263-2</x:v>
      </x:c>
      <x:c r="G394" s="12" t="str">
        <x:v>SURFACE_MOUNT</x:v>
      </x:c>
      <x:c r="H394" s="12" t="str">
        <x:v>SELECTED_CONDITIONAL</x:v>
      </x:c>
      <x:c r="I394" s="12" t="str">
        <x:v>Не выпущено</x:v>
      </x:c>
      <x:c r="J394" s="33" t="str">
        <x:v>vrrm_v: 200; if_average_total_a: 10; configuration: dual common cathode; pinout: 1 anode;2 and tab common cathode;3 anode; ifsm_a: None; qrr_nc: None; tj_max_c: None</x:v>
      </x:c>
      <x:c r="K394" s="33" t="str">
        <x:v>https://www.digikey.com/en/products/detail/smc-diode-solutions/SDURB1020CT/6022622</x:v>
      </x:c>
      <x:c r="L394" s="33" t="str">
        <x:v>DigiKey source only offered MOQ800 full reel in price review. Small-quantity procurement unresolved; do not substitute DPAK or single diode. IFSM/Qrr/thermal margin require manufacturer review.</x:v>
      </x:c>
    </x:row>
    <x:row r="395" ht="38" customHeight="1">
      <x:c r="A395" s="2" t="str">
        <x:v>D701</x:v>
      </x:c>
      <x:c r="B395" s="2" t="str">
        <x:v>BAT54S,215</x:v>
      </x:c>
      <x:c r="C395" s="2" t="str">
        <x:v>Да</x:v>
      </x:c>
      <x:c r="D395" s="8" t="str">
        <x:v>BAT54S,215</x:v>
      </x:c>
      <x:c r="E395" s="2" t="str">
        <x:v>Nexperia</x:v>
      </x:c>
      <x:c r="F395" s="8" t="str">
        <x:v>SOT-23</x:v>
      </x:c>
      <x:c r="G395" s="2" t="str">
        <x:v>SURFACE_MOUNT</x:v>
      </x:c>
      <x:c r="H395" s="2" t="str">
        <x:v>REFERENCE_MPN_RETAINED</x:v>
      </x:c>
      <x:c r="I395" s="2" t="str">
        <x:v>Не выпущено</x:v>
      </x:c>
      <x:c r="J395" s="31" t="str"/>
      <x:c r="K395" s="31" t="str">
        <x:v>https://www.nexperia.com/product/BAT54S</x:v>
      </x:c>
      <x:c r="L395" s="31" t="str">
        <x:v>Existing schematic MPN retained. Complete circuit rating/temperature and package signoff is still required.</x:v>
      </x:c>
    </x:row>
    <x:row r="396" ht="38" customHeight="1">
      <x:c r="A396" s="12" t="str">
        <x:v>D702</x:v>
      </x:c>
      <x:c r="B396" s="12" t="str">
        <x:v>BAT54S,215</x:v>
      </x:c>
      <x:c r="C396" s="12" t="str">
        <x:v>Да</x:v>
      </x:c>
      <x:c r="D396" s="11" t="str">
        <x:v>BAT54S,215</x:v>
      </x:c>
      <x:c r="E396" s="12" t="str">
        <x:v>Nexperia</x:v>
      </x:c>
      <x:c r="F396" s="11" t="str">
        <x:v>SOT-23</x:v>
      </x:c>
      <x:c r="G396" s="12" t="str">
        <x:v>SURFACE_MOUNT</x:v>
      </x:c>
      <x:c r="H396" s="12" t="str">
        <x:v>REFERENCE_MPN_RETAINED</x:v>
      </x:c>
      <x:c r="I396" s="12" t="str">
        <x:v>Не выпущено</x:v>
      </x:c>
      <x:c r="J396" s="33" t="str"/>
      <x:c r="K396" s="33" t="str">
        <x:v>https://www.nexperia.com/product/BAT54S</x:v>
      </x:c>
      <x:c r="L396" s="33" t="str">
        <x:v>Existing schematic MPN retained. Complete circuit rating/temperature and package signoff is still required.</x:v>
      </x:c>
    </x:row>
    <x:row r="397" ht="38" customHeight="1">
      <x:c r="A397" s="2" t="str">
        <x:v>D703</x:v>
      </x:c>
      <x:c r="B397" s="2" t="str">
        <x:v>BAT54S,215</x:v>
      </x:c>
      <x:c r="C397" s="2" t="str">
        <x:v>Да</x:v>
      </x:c>
      <x:c r="D397" s="8" t="str">
        <x:v>BAT54S,215</x:v>
      </x:c>
      <x:c r="E397" s="2" t="str">
        <x:v>Nexperia</x:v>
      </x:c>
      <x:c r="F397" s="8" t="str">
        <x:v>SOT-23</x:v>
      </x:c>
      <x:c r="G397" s="2" t="str">
        <x:v>SURFACE_MOUNT</x:v>
      </x:c>
      <x:c r="H397" s="2" t="str">
        <x:v>REFERENCE_MPN_RETAINED</x:v>
      </x:c>
      <x:c r="I397" s="2" t="str">
        <x:v>Не выпущено</x:v>
      </x:c>
      <x:c r="J397" s="31" t="str"/>
      <x:c r="K397" s="31" t="str">
        <x:v>https://www.nexperia.com/product/BAT54S</x:v>
      </x:c>
      <x:c r="L397" s="31" t="str">
        <x:v>Existing schematic MPN retained. Complete circuit rating/temperature and package signoff is still required.</x:v>
      </x:c>
    </x:row>
    <x:row r="398" ht="38" customHeight="1">
      <x:c r="A398" s="12" t="str">
        <x:v>D704</x:v>
      </x:c>
      <x:c r="B398" s="12" t="str">
        <x:v>BAT54S,215</x:v>
      </x:c>
      <x:c r="C398" s="12" t="str">
        <x:v>Да</x:v>
      </x:c>
      <x:c r="D398" s="11" t="str">
        <x:v>BAT54S,215</x:v>
      </x:c>
      <x:c r="E398" s="12" t="str">
        <x:v>Nexperia</x:v>
      </x:c>
      <x:c r="F398" s="11" t="str">
        <x:v>SOT-23</x:v>
      </x:c>
      <x:c r="G398" s="12" t="str">
        <x:v>SURFACE_MOUNT</x:v>
      </x:c>
      <x:c r="H398" s="12" t="str">
        <x:v>REFERENCE_MPN_RETAINED</x:v>
      </x:c>
      <x:c r="I398" s="12" t="str">
        <x:v>Не выпущено</x:v>
      </x:c>
      <x:c r="J398" s="33" t="str"/>
      <x:c r="K398" s="33" t="str">
        <x:v>https://www.nexperia.com/product/BAT54S</x:v>
      </x:c>
      <x:c r="L398" s="33" t="str">
        <x:v>Existing schematic MPN retained. Complete circuit rating/temperature and package signoff is still required.</x:v>
      </x:c>
    </x:row>
    <x:row r="399" ht="38" customHeight="1">
      <x:c r="A399" s="2" t="str">
        <x:v>D705</x:v>
      </x:c>
      <x:c r="B399" s="2" t="str">
        <x:v>BAT54S,215</x:v>
      </x:c>
      <x:c r="C399" s="2" t="str">
        <x:v>Да</x:v>
      </x:c>
      <x:c r="D399" s="8" t="str">
        <x:v>BAT54S,215</x:v>
      </x:c>
      <x:c r="E399" s="2" t="str">
        <x:v>Nexperia</x:v>
      </x:c>
      <x:c r="F399" s="8" t="str">
        <x:v>SOT-23</x:v>
      </x:c>
      <x:c r="G399" s="2" t="str">
        <x:v>SURFACE_MOUNT</x:v>
      </x:c>
      <x:c r="H399" s="2" t="str">
        <x:v>REFERENCE_MPN_RETAINED</x:v>
      </x:c>
      <x:c r="I399" s="2" t="str">
        <x:v>Не выпущено</x:v>
      </x:c>
      <x:c r="J399" s="31" t="str"/>
      <x:c r="K399" s="31" t="str">
        <x:v>https://www.nexperia.com/product/BAT54S</x:v>
      </x:c>
      <x:c r="L399" s="31" t="str">
        <x:v>Existing schematic MPN retained. Complete circuit rating/temperature and package signoff is still required.</x:v>
      </x:c>
    </x:row>
    <x:row r="400" ht="38" customHeight="1">
      <x:c r="A400" s="12" t="str">
        <x:v>D706</x:v>
      </x:c>
      <x:c r="B400" s="12" t="str">
        <x:v>BAT54S,215</x:v>
      </x:c>
      <x:c r="C400" s="12" t="str">
        <x:v>Да</x:v>
      </x:c>
      <x:c r="D400" s="11" t="str">
        <x:v>BAT54S,215</x:v>
      </x:c>
      <x:c r="E400" s="12" t="str">
        <x:v>Nexperia</x:v>
      </x:c>
      <x:c r="F400" s="11" t="str">
        <x:v>SOT-23</x:v>
      </x:c>
      <x:c r="G400" s="12" t="str">
        <x:v>SURFACE_MOUNT</x:v>
      </x:c>
      <x:c r="H400" s="12" t="str">
        <x:v>REFERENCE_MPN_RETAINED</x:v>
      </x:c>
      <x:c r="I400" s="12" t="str">
        <x:v>Не выпущено</x:v>
      </x:c>
      <x:c r="J400" s="33" t="str"/>
      <x:c r="K400" s="33" t="str">
        <x:v>https://www.nexperia.com/product/BAT54S</x:v>
      </x:c>
      <x:c r="L400" s="33" t="str">
        <x:v>Existing schematic MPN retained. Complete circuit rating/temperature and package signoff is still required.</x:v>
      </x:c>
    </x:row>
    <x:row r="401" ht="38" customHeight="1">
      <x:c r="A401" s="2" t="str">
        <x:v>D707</x:v>
      </x:c>
      <x:c r="B401" s="2" t="str">
        <x:v>BAT54S,215</x:v>
      </x:c>
      <x:c r="C401" s="2" t="str">
        <x:v>Да</x:v>
      </x:c>
      <x:c r="D401" s="8" t="str">
        <x:v>BAT54S,215</x:v>
      </x:c>
      <x:c r="E401" s="2" t="str">
        <x:v>Nexperia</x:v>
      </x:c>
      <x:c r="F401" s="8" t="str">
        <x:v>SOT-23</x:v>
      </x:c>
      <x:c r="G401" s="2" t="str">
        <x:v>SURFACE_MOUNT</x:v>
      </x:c>
      <x:c r="H401" s="2" t="str">
        <x:v>REFERENCE_MPN_RETAINED</x:v>
      </x:c>
      <x:c r="I401" s="2" t="str">
        <x:v>Не выпущено</x:v>
      </x:c>
      <x:c r="J401" s="31" t="str"/>
      <x:c r="K401" s="31" t="str">
        <x:v>https://www.nexperia.com/product/BAT54S</x:v>
      </x:c>
      <x:c r="L401" s="31" t="str">
        <x:v>Existing schematic MPN retained. Complete circuit rating/temperature and package signoff is still required.</x:v>
      </x:c>
    </x:row>
    <x:row r="402" ht="38" customHeight="1">
      <x:c r="A402" s="12" t="str">
        <x:v>D708</x:v>
      </x:c>
      <x:c r="B402" s="12" t="str">
        <x:v>BAT54S,215</x:v>
      </x:c>
      <x:c r="C402" s="12" t="str">
        <x:v>Да</x:v>
      </x:c>
      <x:c r="D402" s="11" t="str">
        <x:v>BAT54S,215</x:v>
      </x:c>
      <x:c r="E402" s="12" t="str">
        <x:v>Nexperia</x:v>
      </x:c>
      <x:c r="F402" s="11" t="str">
        <x:v>SOT-23</x:v>
      </x:c>
      <x:c r="G402" s="12" t="str">
        <x:v>SURFACE_MOUNT</x:v>
      </x:c>
      <x:c r="H402" s="12" t="str">
        <x:v>REFERENCE_MPN_RETAINED</x:v>
      </x:c>
      <x:c r="I402" s="12" t="str">
        <x:v>Не выпущено</x:v>
      </x:c>
      <x:c r="J402" s="33" t="str"/>
      <x:c r="K402" s="33" t="str">
        <x:v>https://www.nexperia.com/product/BAT54S</x:v>
      </x:c>
      <x:c r="L402" s="33" t="str">
        <x:v>Existing schematic MPN retained. Complete circuit rating/temperature and package signoff is still required.</x:v>
      </x:c>
    </x:row>
    <x:row r="403" ht="38" customHeight="1">
      <x:c r="A403" s="2" t="str">
        <x:v>D709</x:v>
      </x:c>
      <x:c r="B403" s="2" t="str">
        <x:v>BAT54S,215</x:v>
      </x:c>
      <x:c r="C403" s="2" t="str">
        <x:v>Да</x:v>
      </x:c>
      <x:c r="D403" s="8" t="str">
        <x:v>BAT54S,215</x:v>
      </x:c>
      <x:c r="E403" s="2" t="str">
        <x:v>Nexperia</x:v>
      </x:c>
      <x:c r="F403" s="8" t="str">
        <x:v>SOT-23</x:v>
      </x:c>
      <x:c r="G403" s="2" t="str">
        <x:v>SURFACE_MOUNT</x:v>
      </x:c>
      <x:c r="H403" s="2" t="str">
        <x:v>REFERENCE_MPN_RETAINED</x:v>
      </x:c>
      <x:c r="I403" s="2" t="str">
        <x:v>Не выпущено</x:v>
      </x:c>
      <x:c r="J403" s="31" t="str"/>
      <x:c r="K403" s="31" t="str">
        <x:v>https://www.nexperia.com/product/BAT54S</x:v>
      </x:c>
      <x:c r="L403" s="31" t="str">
        <x:v>Existing schematic MPN retained. Complete circuit rating/temperature and package signoff is still required.</x:v>
      </x:c>
    </x:row>
    <x:row r="404" ht="38" customHeight="1">
      <x:c r="A404" s="12" t="str">
        <x:v>D710</x:v>
      </x:c>
      <x:c r="B404" s="12" t="str">
        <x:v>BAT54S,215</x:v>
      </x:c>
      <x:c r="C404" s="12" t="str">
        <x:v>Да</x:v>
      </x:c>
      <x:c r="D404" s="11" t="str">
        <x:v>BAT54S,215</x:v>
      </x:c>
      <x:c r="E404" s="12" t="str">
        <x:v>Nexperia</x:v>
      </x:c>
      <x:c r="F404" s="11" t="str">
        <x:v>SOT-23</x:v>
      </x:c>
      <x:c r="G404" s="12" t="str">
        <x:v>SURFACE_MOUNT</x:v>
      </x:c>
      <x:c r="H404" s="12" t="str">
        <x:v>REFERENCE_MPN_RETAINED</x:v>
      </x:c>
      <x:c r="I404" s="12" t="str">
        <x:v>Не выпущено</x:v>
      </x:c>
      <x:c r="J404" s="33" t="str"/>
      <x:c r="K404" s="33" t="str">
        <x:v>https://www.nexperia.com/product/BAT54S</x:v>
      </x:c>
      <x:c r="L404" s="33" t="str">
        <x:v>Existing schematic MPN retained. Complete circuit rating/temperature and package signoff is still required.</x:v>
      </x:c>
    </x:row>
    <x:row r="405" ht="38" customHeight="1">
      <x:c r="A405" s="2" t="str">
        <x:v>D711</x:v>
      </x:c>
      <x:c r="B405" s="2" t="str">
        <x:v>BAT54S,215</x:v>
      </x:c>
      <x:c r="C405" s="2" t="str">
        <x:v>Да</x:v>
      </x:c>
      <x:c r="D405" s="8" t="str">
        <x:v>BAT54S,215</x:v>
      </x:c>
      <x:c r="E405" s="2" t="str">
        <x:v>Nexperia</x:v>
      </x:c>
      <x:c r="F405" s="8" t="str">
        <x:v>SOT-23</x:v>
      </x:c>
      <x:c r="G405" s="2" t="str">
        <x:v>SURFACE_MOUNT</x:v>
      </x:c>
      <x:c r="H405" s="2" t="str">
        <x:v>REFERENCE_MPN_RETAINED</x:v>
      </x:c>
      <x:c r="I405" s="2" t="str">
        <x:v>Не выпущено</x:v>
      </x:c>
      <x:c r="J405" s="31" t="str"/>
      <x:c r="K405" s="31" t="str">
        <x:v>https://www.nexperia.com/product/BAT54S</x:v>
      </x:c>
      <x:c r="L405" s="31" t="str">
        <x:v>Existing schematic MPN retained. Complete circuit rating/temperature and package signoff is still required.</x:v>
      </x:c>
    </x:row>
    <x:row r="406" ht="38" customHeight="1">
      <x:c r="A406" s="12" t="str">
        <x:v>D712</x:v>
      </x:c>
      <x:c r="B406" s="12" t="str">
        <x:v>BAT54S,215</x:v>
      </x:c>
      <x:c r="C406" s="12" t="str">
        <x:v>Да</x:v>
      </x:c>
      <x:c r="D406" s="11" t="str">
        <x:v>BAT54S,215</x:v>
      </x:c>
      <x:c r="E406" s="12" t="str">
        <x:v>Nexperia</x:v>
      </x:c>
      <x:c r="F406" s="11" t="str">
        <x:v>SOT-23</x:v>
      </x:c>
      <x:c r="G406" s="12" t="str">
        <x:v>SURFACE_MOUNT</x:v>
      </x:c>
      <x:c r="H406" s="12" t="str">
        <x:v>REFERENCE_MPN_RETAINED</x:v>
      </x:c>
      <x:c r="I406" s="12" t="str">
        <x:v>Не выпущено</x:v>
      </x:c>
      <x:c r="J406" s="33" t="str"/>
      <x:c r="K406" s="33" t="str">
        <x:v>https://www.nexperia.com/product/BAT54S</x:v>
      </x:c>
      <x:c r="L406" s="33" t="str">
        <x:v>Existing schematic MPN retained. Complete circuit rating/temperature and package signoff is still required.</x:v>
      </x:c>
    </x:row>
    <x:row r="407" ht="38" customHeight="1">
      <x:c r="A407" s="2" t="str">
        <x:v>D713</x:v>
      </x:c>
      <x:c r="B407" s="2" t="str">
        <x:v>BAT54S,215</x:v>
      </x:c>
      <x:c r="C407" s="2" t="str">
        <x:v>Да</x:v>
      </x:c>
      <x:c r="D407" s="8" t="str">
        <x:v>BAT54S,215</x:v>
      </x:c>
      <x:c r="E407" s="2" t="str">
        <x:v>Nexperia</x:v>
      </x:c>
      <x:c r="F407" s="8" t="str">
        <x:v>SOT-23</x:v>
      </x:c>
      <x:c r="G407" s="2" t="str">
        <x:v>SURFACE_MOUNT</x:v>
      </x:c>
      <x:c r="H407" s="2" t="str">
        <x:v>REFERENCE_MPN_RETAINED</x:v>
      </x:c>
      <x:c r="I407" s="2" t="str">
        <x:v>Не выпущено</x:v>
      </x:c>
      <x:c r="J407" s="31" t="str"/>
      <x:c r="K407" s="31" t="str">
        <x:v>https://www.nexperia.com/product/BAT54S</x:v>
      </x:c>
      <x:c r="L407" s="31" t="str">
        <x:v>Existing schematic MPN retained. Complete circuit rating/temperature and package signoff is still required.</x:v>
      </x:c>
    </x:row>
    <x:row r="408" ht="38" customHeight="1">
      <x:c r="A408" s="12" t="str">
        <x:v>D714</x:v>
      </x:c>
      <x:c r="B408" s="12" t="str">
        <x:v>BAT54S,215</x:v>
      </x:c>
      <x:c r="C408" s="12" t="str">
        <x:v>Да</x:v>
      </x:c>
      <x:c r="D408" s="11" t="str">
        <x:v>BAT54S,215</x:v>
      </x:c>
      <x:c r="E408" s="12" t="str">
        <x:v>Nexperia</x:v>
      </x:c>
      <x:c r="F408" s="11" t="str">
        <x:v>SOT-23</x:v>
      </x:c>
      <x:c r="G408" s="12" t="str">
        <x:v>SURFACE_MOUNT</x:v>
      </x:c>
      <x:c r="H408" s="12" t="str">
        <x:v>REFERENCE_MPN_RETAINED</x:v>
      </x:c>
      <x:c r="I408" s="12" t="str">
        <x:v>Не выпущено</x:v>
      </x:c>
      <x:c r="J408" s="33" t="str"/>
      <x:c r="K408" s="33" t="str">
        <x:v>https://www.nexperia.com/product/BAT54S</x:v>
      </x:c>
      <x:c r="L408" s="33" t="str">
        <x:v>Existing schematic MPN retained. Complete circuit rating/temperature and package signoff is still required.</x:v>
      </x:c>
    </x:row>
    <x:row r="409" ht="38" customHeight="1">
      <x:c r="A409" s="2" t="str">
        <x:v>D715</x:v>
      </x:c>
      <x:c r="B409" s="2" t="str">
        <x:v>BAT54S,215</x:v>
      </x:c>
      <x:c r="C409" s="2" t="str">
        <x:v>Да</x:v>
      </x:c>
      <x:c r="D409" s="8" t="str">
        <x:v>BAT54S,215</x:v>
      </x:c>
      <x:c r="E409" s="2" t="str">
        <x:v>Nexperia</x:v>
      </x:c>
      <x:c r="F409" s="8" t="str">
        <x:v>SOT-23</x:v>
      </x:c>
      <x:c r="G409" s="2" t="str">
        <x:v>SURFACE_MOUNT</x:v>
      </x:c>
      <x:c r="H409" s="2" t="str">
        <x:v>REFERENCE_MPN_RETAINED</x:v>
      </x:c>
      <x:c r="I409" s="2" t="str">
        <x:v>Не выпущено</x:v>
      </x:c>
      <x:c r="J409" s="31" t="str"/>
      <x:c r="K409" s="31" t="str">
        <x:v>https://www.nexperia.com/product/BAT54S</x:v>
      </x:c>
      <x:c r="L409" s="31" t="str">
        <x:v>Existing schematic MPN retained. Complete circuit rating/temperature and package signoff is still required.</x:v>
      </x:c>
    </x:row>
    <x:row r="410" ht="38" customHeight="1">
      <x:c r="A410" s="12" t="str">
        <x:v>D716</x:v>
      </x:c>
      <x:c r="B410" s="12" t="str">
        <x:v>BAT54S,215</x:v>
      </x:c>
      <x:c r="C410" s="12" t="str">
        <x:v>Да</x:v>
      </x:c>
      <x:c r="D410" s="11" t="str">
        <x:v>BAT54S,215</x:v>
      </x:c>
      <x:c r="E410" s="12" t="str">
        <x:v>Nexperia</x:v>
      </x:c>
      <x:c r="F410" s="11" t="str">
        <x:v>SOT-23</x:v>
      </x:c>
      <x:c r="G410" s="12" t="str">
        <x:v>SURFACE_MOUNT</x:v>
      </x:c>
      <x:c r="H410" s="12" t="str">
        <x:v>REFERENCE_MPN_RETAINED</x:v>
      </x:c>
      <x:c r="I410" s="12" t="str">
        <x:v>Не выпущено</x:v>
      </x:c>
      <x:c r="J410" s="33" t="str"/>
      <x:c r="K410" s="33" t="str">
        <x:v>https://www.nexperia.com/product/BAT54S</x:v>
      </x:c>
      <x:c r="L410" s="33" t="str">
        <x:v>Existing schematic MPN retained. Complete circuit rating/temperature and package signoff is still required.</x:v>
      </x:c>
    </x:row>
    <x:row r="411" ht="38" customHeight="1">
      <x:c r="A411" s="2" t="str">
        <x:v>D717</x:v>
      </x:c>
      <x:c r="B411" s="2" t="str">
        <x:v>BAT54S,215</x:v>
      </x:c>
      <x:c r="C411" s="2" t="str">
        <x:v>Да</x:v>
      </x:c>
      <x:c r="D411" s="8" t="str">
        <x:v>BAT54S,215</x:v>
      </x:c>
      <x:c r="E411" s="2" t="str">
        <x:v>Nexperia</x:v>
      </x:c>
      <x:c r="F411" s="8" t="str">
        <x:v>SOT-23</x:v>
      </x:c>
      <x:c r="G411" s="2" t="str">
        <x:v>SURFACE_MOUNT</x:v>
      </x:c>
      <x:c r="H411" s="2" t="str">
        <x:v>REFERENCE_MPN_RETAINED</x:v>
      </x:c>
      <x:c r="I411" s="2" t="str">
        <x:v>Не выпущено</x:v>
      </x:c>
      <x:c r="J411" s="31" t="str"/>
      <x:c r="K411" s="31" t="str">
        <x:v>https://www.nexperia.com/product/BAT54S</x:v>
      </x:c>
      <x:c r="L411" s="31" t="str">
        <x:v>Existing schematic MPN retained. Complete circuit rating/temperature and package signoff is still required.</x:v>
      </x:c>
    </x:row>
    <x:row r="412" ht="38" customHeight="1">
      <x:c r="A412" s="12" t="str">
        <x:v>D730</x:v>
      </x:c>
      <x:c r="B412" s="12" t="str">
        <x:v>BAT54S,215</x:v>
      </x:c>
      <x:c r="C412" s="12" t="str">
        <x:v>Да</x:v>
      </x:c>
      <x:c r="D412" s="11" t="str">
        <x:v>BAT54S,215</x:v>
      </x:c>
      <x:c r="E412" s="12" t="str">
        <x:v>Nexperia</x:v>
      </x:c>
      <x:c r="F412" s="11" t="str">
        <x:v>SOT-23</x:v>
      </x:c>
      <x:c r="G412" s="12" t="str">
        <x:v>SURFACE_MOUNT</x:v>
      </x:c>
      <x:c r="H412" s="12" t="str">
        <x:v>REFERENCE_MPN_RETAINED</x:v>
      </x:c>
      <x:c r="I412" s="12" t="str">
        <x:v>Не выпущено</x:v>
      </x:c>
      <x:c r="J412" s="33" t="str"/>
      <x:c r="K412" s="33" t="str">
        <x:v>https://www.nexperia.com/product/BAT54S</x:v>
      </x:c>
      <x:c r="L412" s="33" t="str">
        <x:v>Existing schematic MPN retained. Complete circuit rating/temperature and package signoff is still required.</x:v>
      </x:c>
    </x:row>
    <x:row r="413" ht="38" customHeight="1">
      <x:c r="A413" s="2" t="str">
        <x:v>D731</x:v>
      </x:c>
      <x:c r="B413" s="2" t="str">
        <x:v>BAT54S,215</x:v>
      </x:c>
      <x:c r="C413" s="2" t="str">
        <x:v>Да</x:v>
      </x:c>
      <x:c r="D413" s="8" t="str">
        <x:v>BAT54S,215</x:v>
      </x:c>
      <x:c r="E413" s="2" t="str">
        <x:v>Nexperia</x:v>
      </x:c>
      <x:c r="F413" s="8" t="str">
        <x:v>SOT-23</x:v>
      </x:c>
      <x:c r="G413" s="2" t="str">
        <x:v>SURFACE_MOUNT</x:v>
      </x:c>
      <x:c r="H413" s="2" t="str">
        <x:v>REFERENCE_MPN_RETAINED</x:v>
      </x:c>
      <x:c r="I413" s="2" t="str">
        <x:v>Не выпущено</x:v>
      </x:c>
      <x:c r="J413" s="31" t="str"/>
      <x:c r="K413" s="31" t="str">
        <x:v>https://www.nexperia.com/product/BAT54S</x:v>
      </x:c>
      <x:c r="L413" s="31" t="str">
        <x:v>Existing schematic MPN retained. Complete circuit rating/temperature and package signoff is still required.</x:v>
      </x:c>
    </x:row>
    <x:row r="414" ht="38" customHeight="1">
      <x:c r="A414" s="12" t="str">
        <x:v>D732</x:v>
      </x:c>
      <x:c r="B414" s="12" t="str">
        <x:v>BAT54S,215</x:v>
      </x:c>
      <x:c r="C414" s="12" t="str">
        <x:v>Да</x:v>
      </x:c>
      <x:c r="D414" s="11" t="str">
        <x:v>BAT54S,215</x:v>
      </x:c>
      <x:c r="E414" s="12" t="str">
        <x:v>Nexperia</x:v>
      </x:c>
      <x:c r="F414" s="11" t="str">
        <x:v>SOT-23</x:v>
      </x:c>
      <x:c r="G414" s="12" t="str">
        <x:v>SURFACE_MOUNT</x:v>
      </x:c>
      <x:c r="H414" s="12" t="str">
        <x:v>REFERENCE_MPN_RETAINED</x:v>
      </x:c>
      <x:c r="I414" s="12" t="str">
        <x:v>Не выпущено</x:v>
      </x:c>
      <x:c r="J414" s="33" t="str"/>
      <x:c r="K414" s="33" t="str">
        <x:v>https://www.nexperia.com/product/BAT54S</x:v>
      </x:c>
      <x:c r="L414" s="33" t="str">
        <x:v>Existing schematic MPN retained. Complete circuit rating/temperature and package signoff is still required.</x:v>
      </x:c>
    </x:row>
    <x:row r="415" ht="38" customHeight="1">
      <x:c r="A415" s="2" t="str">
        <x:v>D733</x:v>
      </x:c>
      <x:c r="B415" s="2" t="str">
        <x:v>BAT54S,215</x:v>
      </x:c>
      <x:c r="C415" s="2" t="str">
        <x:v>Да</x:v>
      </x:c>
      <x:c r="D415" s="8" t="str">
        <x:v>BAT54S,215</x:v>
      </x:c>
      <x:c r="E415" s="2" t="str">
        <x:v>Nexperia</x:v>
      </x:c>
      <x:c r="F415" s="8" t="str">
        <x:v>SOT-23</x:v>
      </x:c>
      <x:c r="G415" s="2" t="str">
        <x:v>SURFACE_MOUNT</x:v>
      </x:c>
      <x:c r="H415" s="2" t="str">
        <x:v>REFERENCE_MPN_RETAINED</x:v>
      </x:c>
      <x:c r="I415" s="2" t="str">
        <x:v>Не выпущено</x:v>
      </x:c>
      <x:c r="J415" s="31" t="str"/>
      <x:c r="K415" s="31" t="str">
        <x:v>https://www.nexperia.com/product/BAT54S</x:v>
      </x:c>
      <x:c r="L415" s="31" t="str">
        <x:v>Existing schematic MPN retained. Complete circuit rating/temperature and package signoff is still required.</x:v>
      </x:c>
    </x:row>
    <x:row r="416" ht="38" customHeight="1">
      <x:c r="A416" s="12" t="str">
        <x:v>D734</x:v>
      </x:c>
      <x:c r="B416" s="12" t="str">
        <x:v>BAT54S,215</x:v>
      </x:c>
      <x:c r="C416" s="12" t="str">
        <x:v>Да</x:v>
      </x:c>
      <x:c r="D416" s="11" t="str">
        <x:v>BAT54S,215</x:v>
      </x:c>
      <x:c r="E416" s="12" t="str">
        <x:v>Nexperia</x:v>
      </x:c>
      <x:c r="F416" s="11" t="str">
        <x:v>SOT-23</x:v>
      </x:c>
      <x:c r="G416" s="12" t="str">
        <x:v>SURFACE_MOUNT</x:v>
      </x:c>
      <x:c r="H416" s="12" t="str">
        <x:v>REFERENCE_MPN_RETAINED</x:v>
      </x:c>
      <x:c r="I416" s="12" t="str">
        <x:v>Не выпущено</x:v>
      </x:c>
      <x:c r="J416" s="33" t="str"/>
      <x:c r="K416" s="33" t="str">
        <x:v>https://www.nexperia.com/product/BAT54S</x:v>
      </x:c>
      <x:c r="L416" s="33" t="str">
        <x:v>Existing schematic MPN retained. Complete circuit rating/temperature and package signoff is still required.</x:v>
      </x:c>
    </x:row>
    <x:row r="417" ht="38" customHeight="1">
      <x:c r="A417" s="2" t="str">
        <x:v>D735</x:v>
      </x:c>
      <x:c r="B417" s="2" t="str">
        <x:v>BAT54S,215</x:v>
      </x:c>
      <x:c r="C417" s="2" t="str">
        <x:v>Да</x:v>
      </x:c>
      <x:c r="D417" s="8" t="str">
        <x:v>BAT54S,215</x:v>
      </x:c>
      <x:c r="E417" s="2" t="str">
        <x:v>Nexperia</x:v>
      </x:c>
      <x:c r="F417" s="8" t="str">
        <x:v>SOT-23</x:v>
      </x:c>
      <x:c r="G417" s="2" t="str">
        <x:v>SURFACE_MOUNT</x:v>
      </x:c>
      <x:c r="H417" s="2" t="str">
        <x:v>REFERENCE_MPN_RETAINED</x:v>
      </x:c>
      <x:c r="I417" s="2" t="str">
        <x:v>Не выпущено</x:v>
      </x:c>
      <x:c r="J417" s="31" t="str"/>
      <x:c r="K417" s="31" t="str">
        <x:v>https://www.nexperia.com/product/BAT54S</x:v>
      </x:c>
      <x:c r="L417" s="31" t="str">
        <x:v>Existing schematic MPN retained. Complete circuit rating/temperature and package signoff is still required.</x:v>
      </x:c>
    </x:row>
    <x:row r="418" ht="38" customHeight="1">
      <x:c r="A418" s="12" t="str">
        <x:v>D736</x:v>
      </x:c>
      <x:c r="B418" s="12" t="str">
        <x:v>BAT54S,215</x:v>
      </x:c>
      <x:c r="C418" s="12" t="str">
        <x:v>Да</x:v>
      </x:c>
      <x:c r="D418" s="11" t="str">
        <x:v>BAT54S,215</x:v>
      </x:c>
      <x:c r="E418" s="12" t="str">
        <x:v>Nexperia</x:v>
      </x:c>
      <x:c r="F418" s="11" t="str">
        <x:v>SOT-23</x:v>
      </x:c>
      <x:c r="G418" s="12" t="str">
        <x:v>SURFACE_MOUNT</x:v>
      </x:c>
      <x:c r="H418" s="12" t="str">
        <x:v>REFERENCE_MPN_RETAINED</x:v>
      </x:c>
      <x:c r="I418" s="12" t="str">
        <x:v>Не выпущено</x:v>
      </x:c>
      <x:c r="J418" s="33" t="str"/>
      <x:c r="K418" s="33" t="str">
        <x:v>https://www.nexperia.com/product/BAT54S</x:v>
      </x:c>
      <x:c r="L418" s="33" t="str">
        <x:v>Existing schematic MPN retained. Complete circuit rating/temperature and package signoff is still required.</x:v>
      </x:c>
    </x:row>
    <x:row r="419" ht="38" customHeight="1">
      <x:c r="A419" s="2" t="str">
        <x:v>D737</x:v>
      </x:c>
      <x:c r="B419" s="2" t="str">
        <x:v>BAT54S,215</x:v>
      </x:c>
      <x:c r="C419" s="2" t="str">
        <x:v>Да</x:v>
      </x:c>
      <x:c r="D419" s="8" t="str">
        <x:v>BAT54S,215</x:v>
      </x:c>
      <x:c r="E419" s="2" t="str">
        <x:v>Nexperia</x:v>
      </x:c>
      <x:c r="F419" s="8" t="str">
        <x:v>SOT-23</x:v>
      </x:c>
      <x:c r="G419" s="2" t="str">
        <x:v>SURFACE_MOUNT</x:v>
      </x:c>
      <x:c r="H419" s="2" t="str">
        <x:v>REFERENCE_MPN_RETAINED</x:v>
      </x:c>
      <x:c r="I419" s="2" t="str">
        <x:v>Не выпущено</x:v>
      </x:c>
      <x:c r="J419" s="31" t="str"/>
      <x:c r="K419" s="31" t="str">
        <x:v>https://www.nexperia.com/product/BAT54S</x:v>
      </x:c>
      <x:c r="L419" s="31" t="str">
        <x:v>Existing schematic MPN retained. Complete circuit rating/temperature and package signoff is still required.</x:v>
      </x:c>
    </x:row>
    <x:row r="420" ht="38" customHeight="1">
      <x:c r="A420" s="12" t="str">
        <x:v>D1501</x:v>
      </x:c>
      <x:c r="B420" s="12" t="str">
        <x:v>PESD2CAN</x:v>
      </x:c>
      <x:c r="C420" s="12" t="str">
        <x:v>Да</x:v>
      </x:c>
      <x:c r="D420" s="11" t="str">
        <x:v>PESD2CAN,215</x:v>
      </x:c>
      <x:c r="E420" s="12" t="str">
        <x:v>Nexperia</x:v>
      </x:c>
      <x:c r="F420" s="11" t="str">
        <x:v>SOT-23</x:v>
      </x:c>
      <x:c r="G420" s="12" t="str">
        <x:v>SURFACE_MOUNT</x:v>
      </x:c>
      <x:c r="H420" s="12" t="str">
        <x:v>REFERENCE_MPN_RETAINED</x:v>
      </x:c>
      <x:c r="I420" s="12" t="str">
        <x:v>Не выпущено</x:v>
      </x:c>
      <x:c r="J420" s="33" t="str"/>
      <x:c r="K420" s="33" t="str">
        <x:v>https://www.nexperia.com/product/PESD2CAN</x:v>
      </x:c>
      <x:c r="L420" s="33" t="str">
        <x:v>Existing schematic MPN retained. Complete circuit rating/temperature and package signoff is still required.</x:v>
      </x:c>
    </x:row>
    <x:row r="421" ht="38" customHeight="1">
      <x:c r="A421" s="2" t="str">
        <x:v>D1502</x:v>
      </x:c>
      <x:c r="B421" s="2" t="str">
        <x:v>BAS21,215</x:v>
      </x:c>
      <x:c r="C421" s="2" t="str">
        <x:v>Да</x:v>
      </x:c>
      <x:c r="D421" s="8" t="str">
        <x:v>BAS21,215</x:v>
      </x:c>
      <x:c r="E421" s="2" t="str">
        <x:v>Nexperia</x:v>
      </x:c>
      <x:c r="F421" s="8" t="str">
        <x:v>SOT-23</x:v>
      </x:c>
      <x:c r="G421" s="2" t="str">
        <x:v>SURFACE_MOUNT</x:v>
      </x:c>
      <x:c r="H421" s="2" t="str">
        <x:v>REFERENCE_MPN_RETAINED</x:v>
      </x:c>
      <x:c r="I421" s="2" t="str">
        <x:v>Не выпущено</x:v>
      </x:c>
      <x:c r="J421" s="31" t="str"/>
      <x:c r="K421" s="31" t="str">
        <x:v>https://www.nexperia.com/product/BAS21</x:v>
      </x:c>
      <x:c r="L421" s="31" t="str">
        <x:v>Existing schematic MPN retained. Complete circuit rating/temperature and package signoff is still required.</x:v>
      </x:c>
    </x:row>
    <x:row r="422" ht="38" customHeight="1">
      <x:c r="A422" s="12" t="str">
        <x:v>D1510</x:v>
      </x:c>
      <x:c r="B422" s="12" t="str">
        <x:v>USBLC6-2SC6</x:v>
      </x:c>
      <x:c r="C422" s="12" t="str">
        <x:v>Да</x:v>
      </x:c>
      <x:c r="D422" s="11" t="str">
        <x:v>USBLC6-2SC6</x:v>
      </x:c>
      <x:c r="E422" s="12" t="str">
        <x:v>STMicroelectronics</x:v>
      </x:c>
      <x:c r="F422" s="11" t="str">
        <x:v>SOT-23-6</x:v>
      </x:c>
      <x:c r="G422" s="12" t="str">
        <x:v>SURFACE_MOUNT</x:v>
      </x:c>
      <x:c r="H422" s="12" t="str">
        <x:v>REFERENCE_MPN_RETAINED</x:v>
      </x:c>
      <x:c r="I422" s="12" t="str">
        <x:v>Не выпущено</x:v>
      </x:c>
      <x:c r="J422" s="33" t="str"/>
      <x:c r="K422" s="33" t="str">
        <x:v>https://www.st.com/en/search.html#q=USBLC6-2SC6</x:v>
      </x:c>
      <x:c r="L422" s="33" t="str">
        <x:v>Existing schematic MPN retained. Complete circuit rating/temperature and package signoff is still required.</x:v>
      </x:c>
    </x:row>
    <x:row r="423" ht="38" customHeight="1">
      <x:c r="A423" s="2" t="str">
        <x:v>D1520</x:v>
      </x:c>
      <x:c r="B423" s="2" t="str">
        <x:v>USBLC6-2SC6</x:v>
      </x:c>
      <x:c r="C423" s="2" t="str">
        <x:v>Да</x:v>
      </x:c>
      <x:c r="D423" s="8" t="str">
        <x:v>USBLC6-2SC6</x:v>
      </x:c>
      <x:c r="E423" s="2" t="str">
        <x:v>STMicroelectronics</x:v>
      </x:c>
      <x:c r="F423" s="8" t="str">
        <x:v>SOT-23-6</x:v>
      </x:c>
      <x:c r="G423" s="2" t="str">
        <x:v>SURFACE_MOUNT</x:v>
      </x:c>
      <x:c r="H423" s="2" t="str">
        <x:v>REFERENCE_MPN_RETAINED</x:v>
      </x:c>
      <x:c r="I423" s="2" t="str">
        <x:v>Не выпущено</x:v>
      </x:c>
      <x:c r="J423" s="31" t="str"/>
      <x:c r="K423" s="31" t="str">
        <x:v>https://www.st.com/en/search.html#q=USBLC6-2SC6</x:v>
      </x:c>
      <x:c r="L423" s="31" t="str">
        <x:v>Existing schematic MPN retained. Complete circuit rating/temperature and package signoff is still required.</x:v>
      </x:c>
    </x:row>
    <x:row r="424" ht="38" customHeight="1">
      <x:c r="A424" s="12" t="str">
        <x:v>D1521</x:v>
      </x:c>
      <x:c r="B424" s="12" t="str">
        <x:v>USBLC6-2SC6</x:v>
      </x:c>
      <x:c r="C424" s="12" t="str">
        <x:v>Да</x:v>
      </x:c>
      <x:c r="D424" s="11" t="str">
        <x:v>USBLC6-2SC6</x:v>
      </x:c>
      <x:c r="E424" s="12" t="str">
        <x:v>STMicroelectronics</x:v>
      </x:c>
      <x:c r="F424" s="11" t="str">
        <x:v>SOT-23-6</x:v>
      </x:c>
      <x:c r="G424" s="12" t="str">
        <x:v>SURFACE_MOUNT</x:v>
      </x:c>
      <x:c r="H424" s="12" t="str">
        <x:v>REFERENCE_MPN_RETAINED</x:v>
      </x:c>
      <x:c r="I424" s="12" t="str">
        <x:v>Не выпущено</x:v>
      </x:c>
      <x:c r="J424" s="33" t="str"/>
      <x:c r="K424" s="33" t="str">
        <x:v>https://www.st.com/en/search.html#q=USBLC6-2SC6</x:v>
      </x:c>
      <x:c r="L424" s="33" t="str">
        <x:v>Existing schematic MPN retained. Complete circuit rating/temperature and package signoff is still required.</x:v>
      </x:c>
    </x:row>
    <x:row r="425" ht="38" customHeight="1">
      <x:c r="A425" s="2" t="str">
        <x:v>D1530</x:v>
      </x:c>
      <x:c r="B425" s="2" t="str">
        <x:v>STPS2H100UY</x:v>
      </x:c>
      <x:c r="C425" s="2" t="str">
        <x:v>Да</x:v>
      </x:c>
      <x:c r="D425" s="8" t="str">
        <x:v>STPS2H100UY</x:v>
      </x:c>
      <x:c r="E425" s="2" t="str">
        <x:v>STMicroelectronics</x:v>
      </x:c>
      <x:c r="F425" s="8" t="str">
        <x:v>D_SMB</x:v>
      </x:c>
      <x:c r="G425" s="2" t="str">
        <x:v>SURFACE_MOUNT</x:v>
      </x:c>
      <x:c r="H425" s="2" t="str">
        <x:v>REFERENCE_MPN_RETAINED</x:v>
      </x:c>
      <x:c r="I425" s="2" t="str">
        <x:v>Не выпущено</x:v>
      </x:c>
      <x:c r="J425" s="31" t="str"/>
      <x:c r="K425" s="31" t="str">
        <x:v>https://www.st.com/en/search.html#q=STPS2H100UY</x:v>
      </x:c>
      <x:c r="L425" s="31" t="str">
        <x:v>Existing schematic MPN retained. Complete circuit rating/temperature and package signoff is still required.</x:v>
      </x:c>
    </x:row>
    <x:row r="426" ht="38" customHeight="1">
      <x:c r="A426" s="12" t="str">
        <x:v>D1531</x:v>
      </x:c>
      <x:c r="B426" s="12" t="str">
        <x:v>STPS2H100UY</x:v>
      </x:c>
      <x:c r="C426" s="12" t="str">
        <x:v>Да</x:v>
      </x:c>
      <x:c r="D426" s="11" t="str">
        <x:v>STPS2H100UY</x:v>
      </x:c>
      <x:c r="E426" s="12" t="str">
        <x:v>STMicroelectronics</x:v>
      </x:c>
      <x:c r="F426" s="11" t="str">
        <x:v>D_SMB</x:v>
      </x:c>
      <x:c r="G426" s="12" t="str">
        <x:v>SURFACE_MOUNT</x:v>
      </x:c>
      <x:c r="H426" s="12" t="str">
        <x:v>REFERENCE_MPN_RETAINED</x:v>
      </x:c>
      <x:c r="I426" s="12" t="str">
        <x:v>Не выпущено</x:v>
      </x:c>
      <x:c r="J426" s="33" t="str"/>
      <x:c r="K426" s="33" t="str">
        <x:v>https://www.st.com/en/search.html#q=STPS2H100UY</x:v>
      </x:c>
      <x:c r="L426" s="33" t="str">
        <x:v>Existing schematic MPN retained. Complete circuit rating/temperature and package signoff is still required.</x:v>
      </x:c>
    </x:row>
    <x:row r="427" ht="38" customHeight="1">
      <x:c r="A427" s="2" t="str">
        <x:v>D1600</x:v>
      </x:c>
      <x:c r="B427" s="2" t="str">
        <x:v>BAT54S,215</x:v>
      </x:c>
      <x:c r="C427" s="2" t="str">
        <x:v>Да</x:v>
      </x:c>
      <x:c r="D427" s="8" t="str">
        <x:v>BAT54S,215</x:v>
      </x:c>
      <x:c r="E427" s="2" t="str">
        <x:v>Nexperia</x:v>
      </x:c>
      <x:c r="F427" s="8" t="str">
        <x:v>SOT-23</x:v>
      </x:c>
      <x:c r="G427" s="2" t="str">
        <x:v>SURFACE_MOUNT</x:v>
      </x:c>
      <x:c r="H427" s="2" t="str">
        <x:v>REFERENCE_MPN_RETAINED</x:v>
      </x:c>
      <x:c r="I427" s="2" t="str">
        <x:v>Не выпущено</x:v>
      </x:c>
      <x:c r="J427" s="31" t="str"/>
      <x:c r="K427" s="31" t="str">
        <x:v>https://www.nexperia.com/product/BAT54S</x:v>
      </x:c>
      <x:c r="L427" s="31" t="str">
        <x:v>Existing schematic MPN retained. Complete circuit rating/temperature and package signoff is still required.</x:v>
      </x:c>
    </x:row>
    <x:row r="428" ht="38" customHeight="1">
      <x:c r="A428" s="12" t="str">
        <x:v>D1601</x:v>
      </x:c>
      <x:c r="B428" s="12" t="str">
        <x:v>BAT54S,215</x:v>
      </x:c>
      <x:c r="C428" s="12" t="str">
        <x:v>Да</x:v>
      </x:c>
      <x:c r="D428" s="11" t="str">
        <x:v>BAT54S,215</x:v>
      </x:c>
      <x:c r="E428" s="12" t="str">
        <x:v>Nexperia</x:v>
      </x:c>
      <x:c r="F428" s="11" t="str">
        <x:v>SOT-23</x:v>
      </x:c>
      <x:c r="G428" s="12" t="str">
        <x:v>SURFACE_MOUNT</x:v>
      </x:c>
      <x:c r="H428" s="12" t="str">
        <x:v>REFERENCE_MPN_RETAINED</x:v>
      </x:c>
      <x:c r="I428" s="12" t="str">
        <x:v>Не выпущено</x:v>
      </x:c>
      <x:c r="J428" s="33" t="str"/>
      <x:c r="K428" s="33" t="str">
        <x:v>https://www.nexperia.com/product/BAT54S</x:v>
      </x:c>
      <x:c r="L428" s="33" t="str">
        <x:v>Existing schematic MPN retained. Complete circuit rating/temperature and package signoff is still required.</x:v>
      </x:c>
    </x:row>
    <x:row r="429" ht="38" customHeight="1">
      <x:c r="A429" s="2" t="str">
        <x:v>D1602</x:v>
      </x:c>
      <x:c r="B429" s="2" t="str">
        <x:v>BAT54S,215</x:v>
      </x:c>
      <x:c r="C429" s="2" t="str">
        <x:v>Да</x:v>
      </x:c>
      <x:c r="D429" s="8" t="str">
        <x:v>BAT54S,215</x:v>
      </x:c>
      <x:c r="E429" s="2" t="str">
        <x:v>Nexperia</x:v>
      </x:c>
      <x:c r="F429" s="8" t="str">
        <x:v>SOT-23</x:v>
      </x:c>
      <x:c r="G429" s="2" t="str">
        <x:v>SURFACE_MOUNT</x:v>
      </x:c>
      <x:c r="H429" s="2" t="str">
        <x:v>REFERENCE_MPN_RETAINED</x:v>
      </x:c>
      <x:c r="I429" s="2" t="str">
        <x:v>Не выпущено</x:v>
      </x:c>
      <x:c r="J429" s="31" t="str"/>
      <x:c r="K429" s="31" t="str">
        <x:v>https://www.nexperia.com/product/BAT54S</x:v>
      </x:c>
      <x:c r="L429" s="31" t="str">
        <x:v>Existing schematic MPN retained. Complete circuit rating/temperature and package signoff is still required.</x:v>
      </x:c>
    </x:row>
    <x:row r="430" ht="38" customHeight="1">
      <x:c r="A430" s="12" t="str">
        <x:v>D1603</x:v>
      </x:c>
      <x:c r="B430" s="12" t="str">
        <x:v>BAT54S,215</x:v>
      </x:c>
      <x:c r="C430" s="12" t="str">
        <x:v>Да</x:v>
      </x:c>
      <x:c r="D430" s="11" t="str">
        <x:v>BAT54S,215</x:v>
      </x:c>
      <x:c r="E430" s="12" t="str">
        <x:v>Nexperia</x:v>
      </x:c>
      <x:c r="F430" s="11" t="str">
        <x:v>SOT-23</x:v>
      </x:c>
      <x:c r="G430" s="12" t="str">
        <x:v>SURFACE_MOUNT</x:v>
      </x:c>
      <x:c r="H430" s="12" t="str">
        <x:v>REFERENCE_MPN_RETAINED</x:v>
      </x:c>
      <x:c r="I430" s="12" t="str">
        <x:v>Не выпущено</x:v>
      </x:c>
      <x:c r="J430" s="33" t="str"/>
      <x:c r="K430" s="33" t="str">
        <x:v>https://www.nexperia.com/product/BAT54S</x:v>
      </x:c>
      <x:c r="L430" s="33" t="str">
        <x:v>Existing schematic MPN retained. Complete circuit rating/temperature and package signoff is still required.</x:v>
      </x:c>
    </x:row>
    <x:row r="431" ht="38" customHeight="1">
      <x:c r="A431" s="2" t="str">
        <x:v>D1604</x:v>
      </x:c>
      <x:c r="B431" s="2" t="str">
        <x:v>BAT54S,215</x:v>
      </x:c>
      <x:c r="C431" s="2" t="str">
        <x:v>Да</x:v>
      </x:c>
      <x:c r="D431" s="8" t="str">
        <x:v>BAT54S,215</x:v>
      </x:c>
      <x:c r="E431" s="2" t="str">
        <x:v>Nexperia</x:v>
      </x:c>
      <x:c r="F431" s="8" t="str">
        <x:v>SOT-23</x:v>
      </x:c>
      <x:c r="G431" s="2" t="str">
        <x:v>SURFACE_MOUNT</x:v>
      </x:c>
      <x:c r="H431" s="2" t="str">
        <x:v>REFERENCE_MPN_RETAINED</x:v>
      </x:c>
      <x:c r="I431" s="2" t="str">
        <x:v>Не выпущено</x:v>
      </x:c>
      <x:c r="J431" s="31" t="str"/>
      <x:c r="K431" s="31" t="str">
        <x:v>https://www.nexperia.com/product/BAT54S</x:v>
      </x:c>
      <x:c r="L431" s="31" t="str">
        <x:v>Existing schematic MPN retained. Complete circuit rating/temperature and package signoff is still required.</x:v>
      </x:c>
    </x:row>
    <x:row r="432" ht="38" customHeight="1">
      <x:c r="A432" s="12" t="str">
        <x:v>D5001</x:v>
      </x:c>
      <x:c r="B432" s="12" t="str">
        <x:v>SMCJ33CA</x:v>
      </x:c>
      <x:c r="C432" s="12" t="str">
        <x:v>Да</x:v>
      </x:c>
      <x:c r="D432" s="11" t="str">
        <x:v>SMCJ33CA</x:v>
      </x:c>
      <x:c r="E432" s="12" t="str">
        <x:v>Littelfuse</x:v>
      </x:c>
      <x:c r="F432" s="11" t="str">
        <x:v>D_SMC</x:v>
      </x:c>
      <x:c r="G432" s="12" t="str">
        <x:v>SURFACE_MOUNT</x:v>
      </x:c>
      <x:c r="H432" s="12" t="str">
        <x:v>REFERENCE_MPN_RETAINED</x:v>
      </x:c>
      <x:c r="I432" s="12" t="str">
        <x:v>Не выпущено</x:v>
      </x:c>
      <x:c r="J432" s="33" t="str"/>
      <x:c r="K432" s="33" t="str">
        <x:v>https://www.littelfuse.com/products/tvs-diodes/surface-mount/smcj</x:v>
      </x:c>
      <x:c r="L432" s="33" t="str">
        <x:v>Existing schematic MPN retained. Complete circuit rating/temperature and package signoff is still required.</x:v>
      </x:c>
    </x:row>
    <x:row r="433" ht="38" customHeight="1">
      <x:c r="A433" s="2" t="str">
        <x:v>D5051</x:v>
      </x:c>
      <x:c r="B433" s="2" t="str">
        <x:v>SMCJ33CA</x:v>
      </x:c>
      <x:c r="C433" s="2" t="str">
        <x:v>Да</x:v>
      </x:c>
      <x:c r="D433" s="8" t="str">
        <x:v>SMCJ33CA</x:v>
      </x:c>
      <x:c r="E433" s="2" t="str">
        <x:v>Littelfuse</x:v>
      </x:c>
      <x:c r="F433" s="8" t="str">
        <x:v>D_SMC</x:v>
      </x:c>
      <x:c r="G433" s="2" t="str">
        <x:v>SURFACE_MOUNT</x:v>
      </x:c>
      <x:c r="H433" s="2" t="str">
        <x:v>REFERENCE_MPN_RETAINED</x:v>
      </x:c>
      <x:c r="I433" s="2" t="str">
        <x:v>Не выпущено</x:v>
      </x:c>
      <x:c r="J433" s="31" t="str"/>
      <x:c r="K433" s="31" t="str">
        <x:v>https://www.littelfuse.com/products/tvs-diodes/surface-mount/smcj</x:v>
      </x:c>
      <x:c r="L433" s="31" t="str">
        <x:v>Existing schematic MPN retained. Complete circuit rating/temperature and package signoff is still required.</x:v>
      </x:c>
    </x:row>
    <x:row r="434" ht="38" customHeight="1">
      <x:c r="A434" s="12" t="str">
        <x:v>D5200</x:v>
      </x:c>
      <x:c r="B434" s="12" t="str">
        <x:v>STPS5H100BY-TR</x:v>
      </x:c>
      <x:c r="C434" s="12" t="str">
        <x:v>Да</x:v>
      </x:c>
      <x:c r="D434" s="11" t="str">
        <x:v>STPS5H100BY-TR</x:v>
      </x:c>
      <x:c r="E434" s="12" t="str">
        <x:v>STMicroelectronics</x:v>
      </x:c>
      <x:c r="F434" s="11" t="str">
        <x:v>TO-252-2</x:v>
      </x:c>
      <x:c r="G434" s="12" t="str">
        <x:v>SURFACE_MOUNT</x:v>
      </x:c>
      <x:c r="H434" s="12" t="str">
        <x:v>REFERENCE_MPN_RETAINED</x:v>
      </x:c>
      <x:c r="I434" s="12" t="str">
        <x:v>Не выпущено</x:v>
      </x:c>
      <x:c r="J434" s="33" t="str"/>
      <x:c r="K434" s="33" t="str">
        <x:v>https://www.st.com/en/search.html#q=STPS5H100BY-TR</x:v>
      </x:c>
      <x:c r="L434" s="33" t="str">
        <x:v>Existing schematic MPN retained. Complete circuit rating/temperature and package signoff is still required.</x:v>
      </x:c>
    </x:row>
    <x:row r="435" ht="38" customHeight="1">
      <x:c r="A435" s="2" t="str">
        <x:v>D5201</x:v>
      </x:c>
      <x:c r="B435" s="2" t="str">
        <x:v>SMBJ24CA</x:v>
      </x:c>
      <x:c r="C435" s="2" t="str">
        <x:v>Да</x:v>
      </x:c>
      <x:c r="D435" s="8" t="str">
        <x:v>SMBJ24CA</x:v>
      </x:c>
      <x:c r="E435" s="2" t="str">
        <x:v>Littelfuse</x:v>
      </x:c>
      <x:c r="F435" s="8" t="str">
        <x:v>D_SMB</x:v>
      </x:c>
      <x:c r="G435" s="2" t="str">
        <x:v>SURFACE_MOUNT</x:v>
      </x:c>
      <x:c r="H435" s="2" t="str">
        <x:v>REFERENCE_MPN_RETAINED</x:v>
      </x:c>
      <x:c r="I435" s="2" t="str">
        <x:v>Не выпущено</x:v>
      </x:c>
      <x:c r="J435" s="31" t="str"/>
      <x:c r="K435" s="31" t="str">
        <x:v>https://www.littelfuse.com/products/tvs-diodes/surface-mount/smbj</x:v>
      </x:c>
      <x:c r="L435" s="31" t="str">
        <x:v>Existing schematic MPN retained. Complete circuit rating/temperature and package signoff is still required.</x:v>
      </x:c>
    </x:row>
    <x:row r="436" ht="38" customHeight="1">
      <x:c r="A436" s="12" t="str">
        <x:v>D5600</x:v>
      </x:c>
      <x:c r="B436" s="12" t="str">
        <x:v>LED-RED-0603</x:v>
      </x:c>
      <x:c r="C436" s="12" t="str">
        <x:v>Да</x:v>
      </x:c>
      <x:c r="D436" s="11" t="str">
        <x:v>APT1608SURCK</x:v>
      </x:c>
      <x:c r="E436" s="12" t="str">
        <x:v>Kingbright</x:v>
      </x:c>
      <x:c r="F436" s="11" t="str">
        <x:v>0603</x:v>
      </x:c>
      <x:c r="G436" s="12" t="str">
        <x:v>SURFACE_MOUNT</x:v>
      </x:c>
      <x:c r="H436" s="12" t="str">
        <x:v>SELECTED_CONDITIONAL</x:v>
      </x:c>
      <x:c r="I436" s="12" t="str">
        <x:v>Не выпущено</x:v>
      </x:c>
      <x:c r="J436" s="33" t="str">
        <x:v>color: red; test_current_ma: 20; body_mm: [1.6, 0.8, 0.75]</x:v>
      </x:c>
      <x:c r="K436" s="33" t="str">
        <x:v>https://www.kingbrightusa.com/product.asp?catalog_name=LED&amp;product_id=APT1608SURCK</x:v>
      </x:c>
      <x:c r="L436" s="33" t="str">
        <x:v>20mA is catalog test current, not a configured operating current. Verify resistor/current and polarity; blue LED headroom may be limited on3.3V.</x:v>
      </x:c>
    </x:row>
    <x:row r="437" ht="38" customHeight="1">
      <x:c r="A437" s="2" t="str">
        <x:v>D5601</x:v>
      </x:c>
      <x:c r="B437" s="2" t="str">
        <x:v>LED-GREEN-0603</x:v>
      </x:c>
      <x:c r="C437" s="2" t="str">
        <x:v>Да</x:v>
      </x:c>
      <x:c r="D437" s="8" t="str">
        <x:v>APT1608SGC</x:v>
      </x:c>
      <x:c r="E437" s="2" t="str">
        <x:v>Kingbright</x:v>
      </x:c>
      <x:c r="F437" s="8" t="str">
        <x:v>0603</x:v>
      </x:c>
      <x:c r="G437" s="2" t="str">
        <x:v>SURFACE_MOUNT</x:v>
      </x:c>
      <x:c r="H437" s="2" t="str">
        <x:v>SELECTED_CONDITIONAL</x:v>
      </x:c>
      <x:c r="I437" s="2" t="str">
        <x:v>Не выпущено</x:v>
      </x:c>
      <x:c r="J437" s="31" t="str">
        <x:v>color: green; test_current_ma: 20; body_mm: [1.6, 0.8, 0.75]</x:v>
      </x:c>
      <x:c r="K437" s="31" t="str">
        <x:v>https://www.digikey.com/en/products/detail/kingbright/APT1608SGC/1747519</x:v>
      </x:c>
      <x:c r="L437" s="31" t="str">
        <x:v>20mA is catalog test current, not a configured operating current. Verify resistor/current and polarity; blue LED headroom may be limited on3.3V.</x:v>
      </x:c>
    </x:row>
    <x:row r="438" ht="38" customHeight="1">
      <x:c r="A438" s="12" t="str">
        <x:v>D5602</x:v>
      </x:c>
      <x:c r="B438" s="12" t="str">
        <x:v>LED-BLUE-0603</x:v>
      </x:c>
      <x:c r="C438" s="12" t="str">
        <x:v>Да</x:v>
      </x:c>
      <x:c r="D438" s="11" t="str">
        <x:v>APT1608QBC/D</x:v>
      </x:c>
      <x:c r="E438" s="12" t="str">
        <x:v>Kingbright</x:v>
      </x:c>
      <x:c r="F438" s="11" t="str">
        <x:v>0603</x:v>
      </x:c>
      <x:c r="G438" s="12" t="str">
        <x:v>SURFACE_MOUNT</x:v>
      </x:c>
      <x:c r="H438" s="12" t="str">
        <x:v>SELECTED_CONDITIONAL</x:v>
      </x:c>
      <x:c r="I438" s="12" t="str">
        <x:v>Не выпущено</x:v>
      </x:c>
      <x:c r="J438" s="33" t="str">
        <x:v>color: blue; test_current_ma: 20; body_mm: [1.6, 0.8, 0.75]</x:v>
      </x:c>
      <x:c r="K438" s="33" t="str">
        <x:v>https://www.digikey.com/en/products/detail/kingbright/APT1608QBC-D/2163697</x:v>
      </x:c>
      <x:c r="L438" s="33" t="str">
        <x:v>20mA is catalog test current, not a configured operating current. Verify resistor/current and polarity; blue LED headroom may be limited on3.3V.</x:v>
      </x:c>
    </x:row>
    <x:row r="439" ht="38" customHeight="1">
      <x:c r="A439" s="2" t="str">
        <x:v>D5603</x:v>
      </x:c>
      <x:c r="B439" s="2" t="str">
        <x:v>LED-RED-0603</x:v>
      </x:c>
      <x:c r="C439" s="2" t="str">
        <x:v>Да</x:v>
      </x:c>
      <x:c r="D439" s="8" t="str">
        <x:v>APT1608SURCK</x:v>
      </x:c>
      <x:c r="E439" s="2" t="str">
        <x:v>Kingbright</x:v>
      </x:c>
      <x:c r="F439" s="8" t="str">
        <x:v>0603</x:v>
      </x:c>
      <x:c r="G439" s="2" t="str">
        <x:v>SURFACE_MOUNT</x:v>
      </x:c>
      <x:c r="H439" s="2" t="str">
        <x:v>SELECTED_CONDITIONAL</x:v>
      </x:c>
      <x:c r="I439" s="2" t="str">
        <x:v>Не выпущено</x:v>
      </x:c>
      <x:c r="J439" s="31" t="str">
        <x:v>color: red; test_current_ma: 20; body_mm: [1.6, 0.8, 0.75]</x:v>
      </x:c>
      <x:c r="K439" s="31" t="str">
        <x:v>https://www.kingbrightusa.com/product.asp?catalog_name=LED&amp;product_id=APT1608SURCK</x:v>
      </x:c>
      <x:c r="L439" s="31" t="str">
        <x:v>20mA is catalog test current, not a configured operating current. Verify resistor/current and polarity; blue LED headroom may be limited on3.3V.</x:v>
      </x:c>
    </x:row>
    <x:row r="440" ht="38" customHeight="1">
      <x:c r="A440" s="12" t="str">
        <x:v>D5604</x:v>
      </x:c>
      <x:c r="B440" s="12" t="str">
        <x:v>PESD1CAN</x:v>
      </x:c>
      <x:c r="C440" s="12" t="str">
        <x:v>Да</x:v>
      </x:c>
      <x:c r="D440" s="11" t="str">
        <x:v>PESD1CAN,215</x:v>
      </x:c>
      <x:c r="E440" s="12" t="str">
        <x:v>Nexperia</x:v>
      </x:c>
      <x:c r="F440" s="11" t="str">
        <x:v>SOT-23</x:v>
      </x:c>
      <x:c r="G440" s="12" t="str">
        <x:v>SURFACE_MOUNT</x:v>
      </x:c>
      <x:c r="H440" s="12" t="str">
        <x:v>REFERENCE_MPN_RETAINED</x:v>
      </x:c>
      <x:c r="I440" s="12" t="str">
        <x:v>Не выпущено</x:v>
      </x:c>
      <x:c r="J440" s="33" t="str"/>
      <x:c r="K440" s="33" t="str">
        <x:v>https://www.nexperia.com/product/PESD1CAN</x:v>
      </x:c>
      <x:c r="L440" s="33" t="str">
        <x:v>Existing schematic MPN retained. Complete circuit rating/temperature and package signoff is still required.</x:v>
      </x:c>
    </x:row>
    <x:row r="441" ht="38" customHeight="1">
      <x:c r="A441" s="2" t="str">
        <x:v>D5610</x:v>
      </x:c>
      <x:c r="B441" s="2" t="str">
        <x:v>STPS5H100BY-TR</x:v>
      </x:c>
      <x:c r="C441" s="2" t="str">
        <x:v>Да</x:v>
      </x:c>
      <x:c r="D441" s="8" t="str">
        <x:v>STPS5H100BY-TR</x:v>
      </x:c>
      <x:c r="E441" s="2" t="str">
        <x:v>STMicroelectronics</x:v>
      </x:c>
      <x:c r="F441" s="8" t="str">
        <x:v>TO-252-2</x:v>
      </x:c>
      <x:c r="G441" s="2" t="str">
        <x:v>SURFACE_MOUNT</x:v>
      </x:c>
      <x:c r="H441" s="2" t="str">
        <x:v>REFERENCE_MPN_RETAINED</x:v>
      </x:c>
      <x:c r="I441" s="2" t="str">
        <x:v>Не выпущено</x:v>
      </x:c>
      <x:c r="J441" s="31" t="str"/>
      <x:c r="K441" s="31" t="str">
        <x:v>https://www.st.com/en/search.html#q=STPS5H100BY-TR</x:v>
      </x:c>
      <x:c r="L441" s="31" t="str">
        <x:v>Existing schematic MPN retained. Complete circuit rating/temperature and package signoff is still required.</x:v>
      </x:c>
    </x:row>
    <x:row r="442" ht="38" customHeight="1">
      <x:c r="A442" s="12" t="str">
        <x:v>D5611</x:v>
      </x:c>
      <x:c r="B442" s="12" t="str">
        <x:v>SMBJ24CA</x:v>
      </x:c>
      <x:c r="C442" s="12" t="str">
        <x:v>Да</x:v>
      </x:c>
      <x:c r="D442" s="11" t="str">
        <x:v>SMBJ24CA</x:v>
      </x:c>
      <x:c r="E442" s="12" t="str">
        <x:v>Littelfuse</x:v>
      </x:c>
      <x:c r="F442" s="11" t="str">
        <x:v>D_SMB</x:v>
      </x:c>
      <x:c r="G442" s="12" t="str">
        <x:v>SURFACE_MOUNT</x:v>
      </x:c>
      <x:c r="H442" s="12" t="str">
        <x:v>REFERENCE_MPN_RETAINED</x:v>
      </x:c>
      <x:c r="I442" s="12" t="str">
        <x:v>Не выпущено</x:v>
      </x:c>
      <x:c r="J442" s="33" t="str"/>
      <x:c r="K442" s="33" t="str">
        <x:v>https://www.littelfuse.com/products/tvs-diodes/surface-mount/smbj</x:v>
      </x:c>
      <x:c r="L442" s="33" t="str">
        <x:v>Existing schematic MPN retained. Complete circuit rating/temperature and package signoff is still required.</x:v>
      </x:c>
    </x:row>
    <x:row r="443" ht="38" customHeight="1">
      <x:c r="A443" s="2" t="str">
        <x:v>D6000</x:v>
      </x:c>
      <x:c r="B443" s="2" t="str">
        <x:v>SMCJ18CA</x:v>
      </x:c>
      <x:c r="C443" s="2" t="str">
        <x:v>Да</x:v>
      </x:c>
      <x:c r="D443" s="8" t="str">
        <x:v>SMCJ18CA</x:v>
      </x:c>
      <x:c r="E443" s="2" t="str">
        <x:v>Littelfuse</x:v>
      </x:c>
      <x:c r="F443" s="8" t="str">
        <x:v>D_SMC</x:v>
      </x:c>
      <x:c r="G443" s="2" t="str">
        <x:v>SURFACE_MOUNT</x:v>
      </x:c>
      <x:c r="H443" s="2" t="str">
        <x:v>REFERENCE_MPN_RETAINED</x:v>
      </x:c>
      <x:c r="I443" s="2" t="str">
        <x:v>Не выпущено</x:v>
      </x:c>
      <x:c r="J443" s="31" t="str"/>
      <x:c r="K443" s="31" t="str">
        <x:v>https://www.littelfuse.com/products/tvs-diodes/surface-mount/smcj</x:v>
      </x:c>
      <x:c r="L443" s="31" t="str">
        <x:v>Existing schematic MPN retained. Complete circuit rating/temperature and package signoff is still required.</x:v>
      </x:c>
    </x:row>
    <x:row r="444" ht="38" customHeight="1">
      <x:c r="A444" s="12" t="str">
        <x:v>D6050</x:v>
      </x:c>
      <x:c r="B444" s="12" t="str">
        <x:v>SMCJ18CA</x:v>
      </x:c>
      <x:c r="C444" s="12" t="str">
        <x:v>Да</x:v>
      </x:c>
      <x:c r="D444" s="11" t="str">
        <x:v>SMCJ18CA</x:v>
      </x:c>
      <x:c r="E444" s="12" t="str">
        <x:v>Littelfuse</x:v>
      </x:c>
      <x:c r="F444" s="11" t="str">
        <x:v>D_SMC</x:v>
      </x:c>
      <x:c r="G444" s="12" t="str">
        <x:v>SURFACE_MOUNT</x:v>
      </x:c>
      <x:c r="H444" s="12" t="str">
        <x:v>REFERENCE_MPN_RETAINED</x:v>
      </x:c>
      <x:c r="I444" s="12" t="str">
        <x:v>Не выпущено</x:v>
      </x:c>
      <x:c r="J444" s="33" t="str"/>
      <x:c r="K444" s="33" t="str">
        <x:v>https://www.littelfuse.com/products/tvs-diodes/surface-mount/smcj</x:v>
      </x:c>
      <x:c r="L444" s="33" t="str">
        <x:v>Existing schematic MPN retained. Complete circuit rating/temperature and package signoff is still required.</x:v>
      </x:c>
    </x:row>
    <x:row r="445" ht="38" customHeight="1">
      <x:c r="A445" s="2" t="str">
        <x:v>D6200</x:v>
      </x:c>
      <x:c r="B445" s="2" t="str">
        <x:v>SMCJ33CA</x:v>
      </x:c>
      <x:c r="C445" s="2" t="str">
        <x:v>Да</x:v>
      </x:c>
      <x:c r="D445" s="8" t="str">
        <x:v>SMCJ33CA</x:v>
      </x:c>
      <x:c r="E445" s="2" t="str">
        <x:v>Littelfuse</x:v>
      </x:c>
      <x:c r="F445" s="8" t="str">
        <x:v>D_SMC</x:v>
      </x:c>
      <x:c r="G445" s="2" t="str">
        <x:v>SURFACE_MOUNT</x:v>
      </x:c>
      <x:c r="H445" s="2" t="str">
        <x:v>REFERENCE_MPN_RETAINED</x:v>
      </x:c>
      <x:c r="I445" s="2" t="str">
        <x:v>Не выпущено</x:v>
      </x:c>
      <x:c r="J445" s="31" t="str"/>
      <x:c r="K445" s="31" t="str">
        <x:v>https://www.littelfuse.com/products/tvs-diodes/surface-mount/smcj</x:v>
      </x:c>
      <x:c r="L445" s="31" t="str">
        <x:v>Existing schematic MPN retained. Complete circuit rating/temperature and package signoff is still required.</x:v>
      </x:c>
    </x:row>
    <x:row r="446" ht="38" customHeight="1">
      <x:c r="A446" s="12" t="str">
        <x:v>D6250</x:v>
      </x:c>
      <x:c r="B446" s="12" t="str">
        <x:v>SMCJ33CA</x:v>
      </x:c>
      <x:c r="C446" s="12" t="str">
        <x:v>Да</x:v>
      </x:c>
      <x:c r="D446" s="11" t="str">
        <x:v>SMCJ33CA</x:v>
      </x:c>
      <x:c r="E446" s="12" t="str">
        <x:v>Littelfuse</x:v>
      </x:c>
      <x:c r="F446" s="11" t="str">
        <x:v>D_SMC</x:v>
      </x:c>
      <x:c r="G446" s="12" t="str">
        <x:v>SURFACE_MOUNT</x:v>
      </x:c>
      <x:c r="H446" s="12" t="str">
        <x:v>REFERENCE_MPN_RETAINED</x:v>
      </x:c>
      <x:c r="I446" s="12" t="str">
        <x:v>Не выпущено</x:v>
      </x:c>
      <x:c r="J446" s="33" t="str"/>
      <x:c r="K446" s="33" t="str">
        <x:v>https://www.littelfuse.com/products/tvs-diodes/surface-mount/smcj</x:v>
      </x:c>
      <x:c r="L446" s="33" t="str">
        <x:v>Existing schematic MPN retained. Complete circuit rating/temperature and package signoff is still required.</x:v>
      </x:c>
    </x:row>
    <x:row r="447" ht="38" customHeight="1">
      <x:c r="A447" s="2" t="str">
        <x:v>J101</x:v>
      </x:c>
      <x:c r="B447" s="2" t="str">
        <x:v>SWD 3V3 target reference</x:v>
      </x:c>
      <x:c r="C447" s="2" t="str">
        <x:v>Да</x:v>
      </x:c>
      <x:c r="D447" s="8" t="str">
        <x:v>M50-3500542</x:v>
      </x:c>
      <x:c r="E447" s="2" t="str">
        <x:v>Harwin</x:v>
      </x:c>
      <x:c r="F447" s="8" t="str">
        <x:v>PinHeader_2x05_P1.27mm_Vertical</x:v>
      </x:c>
      <x:c r="G447" s="2" t="str">
        <x:v>THROUGH_HOLE</x:v>
      </x:c>
      <x:c r="H447" s="2" t="str">
        <x:v>SELECTED_CATALOG_ITEM</x:v>
      </x:c>
      <x:c r="I447" s="2" t="str">
        <x:v>Не выпущено</x:v>
      </x:c>
      <x:c r="J447" s="31" t="str">
        <x:v>positions: 10; rows: 2; pitch_mm: 1.27; row_spacing_mm: 1.27; current_per_contact_a: 1; temperature_min_c: -40; temperature_max_c: 105; mounting: through hole; post_length_mm: 2.3</x:v>
      </x:c>
      <x:c r="K447" s="31" t="str">
        <x:v>https://www.digikey.com/en/products/detail/harwin-inc/M50-3500542/2264364</x:v>
      </x:c>
      <x:c r="L447" s="31" t="str"/>
    </x:row>
    <x:row r="448" ht="38" customHeight="1">
      <x:c r="A448" s="12" t="str">
        <x:v>J601</x:v>
      </x:c>
      <x:c r="B448" s="12" t="str">
        <x:v>6437288-1 / KEY1 CANDIDATE</x:v>
      </x:c>
      <x:c r="C448" s="12" t="str">
        <x:v>Да</x:v>
      </x:c>
      <x:c r="D448" s="11" t="str">
        <x:v>6437288-1</x:v>
      </x:c>
      <x:c r="E448" s="12" t="str">
        <x:v>TE Connectivity</x:v>
      </x:c>
      <x:c r="F448" s="11" t="str">
        <x:v>TE_6437288-1_34way</x:v>
      </x:c>
      <x:c r="G448" s="12" t="str">
        <x:v>THROUGH_HOLE</x:v>
      </x:c>
      <x:c r="H448" s="12" t="str">
        <x:v>REFERENCE_MPN_RETAINED</x:v>
      </x:c>
      <x:c r="I448" s="12" t="str">
        <x:v>Не выпущено</x:v>
      </x:c>
      <x:c r="J448" s="33" t="str"/>
      <x:c r="K448" s="33" t="str">
        <x:v>https://www.te.com/en/product-6437288-1.html</x:v>
      </x:c>
      <x:c r="L448" s="33" t="str">
        <x:v>Existing schematic MPN retained. Complete circuit rating/temperature and package signoff is still required.</x:v>
      </x:c>
    </x:row>
    <x:row r="449" ht="38" customHeight="1">
      <x:c r="A449" s="2" t="str">
        <x:v>J602</x:v>
      </x:c>
      <x:c r="B449" s="2" t="str">
        <x:v>6437288-1 / KEY1 CANDIDATE</x:v>
      </x:c>
      <x:c r="C449" s="2" t="str">
        <x:v>Да</x:v>
      </x:c>
      <x:c r="D449" s="8" t="str">
        <x:v>6437288-1</x:v>
      </x:c>
      <x:c r="E449" s="2" t="str">
        <x:v>TE Connectivity</x:v>
      </x:c>
      <x:c r="F449" s="8" t="str">
        <x:v>TE_6437288-1_34way</x:v>
      </x:c>
      <x:c r="G449" s="2" t="str">
        <x:v>THROUGH_HOLE</x:v>
      </x:c>
      <x:c r="H449" s="2" t="str">
        <x:v>REFERENCE_MPN_RETAINED</x:v>
      </x:c>
      <x:c r="I449" s="2" t="str">
        <x:v>Не выпущено</x:v>
      </x:c>
      <x:c r="J449" s="31" t="str"/>
      <x:c r="K449" s="31" t="str">
        <x:v>https://www.te.com/en/product-6437288-1.html</x:v>
      </x:c>
      <x:c r="L449" s="31" t="str">
        <x:v>Existing schematic MPN retained. Complete circuit rating/temperature and package signoff is still required.</x:v>
      </x:c>
    </x:row>
    <x:row r="450" ht="38" customHeight="1">
      <x:c r="A450" s="12" t="str">
        <x:v>J603</x:v>
      </x:c>
      <x:c r="B450" s="12" t="str">
        <x:v>6437288-1 / KEY1 CANDIDATE</x:v>
      </x:c>
      <x:c r="C450" s="12" t="str">
        <x:v>Да</x:v>
      </x:c>
      <x:c r="D450" s="11" t="str">
        <x:v>6437288-1</x:v>
      </x:c>
      <x:c r="E450" s="12" t="str">
        <x:v>TE Connectivity</x:v>
      </x:c>
      <x:c r="F450" s="11" t="str">
        <x:v>TE_6437288-1_34way</x:v>
      </x:c>
      <x:c r="G450" s="12" t="str">
        <x:v>THROUGH_HOLE</x:v>
      </x:c>
      <x:c r="H450" s="12" t="str">
        <x:v>REFERENCE_MPN_RETAINED</x:v>
      </x:c>
      <x:c r="I450" s="12" t="str">
        <x:v>Не выпущено</x:v>
      </x:c>
      <x:c r="J450" s="33" t="str"/>
      <x:c r="K450" s="33" t="str">
        <x:v>https://www.te.com/en/product-6437288-1.html</x:v>
      </x:c>
      <x:c r="L450" s="33" t="str">
        <x:v>Existing schematic MPN retained. Complete circuit rating/temperature and package signoff is still required.</x:v>
      </x:c>
    </x:row>
    <x:row r="451" ht="38" customHeight="1">
      <x:c r="A451" s="2" t="str">
        <x:v>J604</x:v>
      </x:c>
      <x:c r="B451" s="2" t="str">
        <x:v>6437288-1 / KEY1 CANDIDATE</x:v>
      </x:c>
      <x:c r="C451" s="2" t="str">
        <x:v>Да</x:v>
      </x:c>
      <x:c r="D451" s="8" t="str">
        <x:v>6437288-1</x:v>
      </x:c>
      <x:c r="E451" s="2" t="str">
        <x:v>TE Connectivity</x:v>
      </x:c>
      <x:c r="F451" s="8" t="str">
        <x:v>TE_6437288-1_34way</x:v>
      </x:c>
      <x:c r="G451" s="2" t="str">
        <x:v>THROUGH_HOLE</x:v>
      </x:c>
      <x:c r="H451" s="2" t="str">
        <x:v>REFERENCE_MPN_RETAINED</x:v>
      </x:c>
      <x:c r="I451" s="2" t="str">
        <x:v>Не выпущено</x:v>
      </x:c>
      <x:c r="J451" s="31" t="str"/>
      <x:c r="K451" s="31" t="str">
        <x:v>https://www.te.com/en/product-6437288-1.html</x:v>
      </x:c>
      <x:c r="L451" s="31" t="str">
        <x:v>Existing schematic MPN retained. Complete circuit rating/temperature and package signoff is still required.</x:v>
      </x:c>
    </x:row>
    <x:row r="452" ht="38" customHeight="1">
      <x:c r="A452" s="12" t="str">
        <x:v>J1501</x:v>
      </x:c>
      <x:c r="B452" s="12" t="str">
        <x:v>Molex 1050170001</x:v>
      </x:c>
      <x:c r="C452" s="12" t="str">
        <x:v>Да</x:v>
      </x:c>
      <x:c r="D452" s="11" t="str">
        <x:v>1050170001</x:v>
      </x:c>
      <x:c r="E452" s="12" t="str">
        <x:v>Molex</x:v>
      </x:c>
      <x:c r="F452" s="11" t="str">
        <x:v>USB_Micro-B_Molex-105017-0001</x:v>
      </x:c>
      <x:c r="G452" s="12" t="str">
        <x:v>SURFACE_MOUNT</x:v>
      </x:c>
      <x:c r="H452" s="12" t="str">
        <x:v>REFERENCE_MPN_RETAINED</x:v>
      </x:c>
      <x:c r="I452" s="12" t="str">
        <x:v>Не выпущено</x:v>
      </x:c>
      <x:c r="J452" s="33" t="str"/>
      <x:c r="K452" s="33" t="str">
        <x:v>https://www.molex.com/en-us/products/part-detail/1050170001</x:v>
      </x:c>
      <x:c r="L452" s="33" t="str">
        <x:v>Existing schematic MPN retained. Complete circuit rating/temperature and package signoff is still required.</x:v>
      </x:c>
    </x:row>
    <x:row r="453" ht="38" customHeight="1">
      <x:c r="A453" s="2" t="str">
        <x:v>J1502</x:v>
      </x:c>
      <x:c r="B453" s="2" t="str">
        <x:v>Molex 1040310811</x:v>
      </x:c>
      <x:c r="C453" s="2" t="str">
        <x:v>Да</x:v>
      </x:c>
      <x:c r="D453" s="8" t="str">
        <x:v>1040310811</x:v>
      </x:c>
      <x:c r="E453" s="2" t="str">
        <x:v>Molex</x:v>
      </x:c>
      <x:c r="F453" s="8" t="str">
        <x:v>microSD_HC_Molex_104031-0811</x:v>
      </x:c>
      <x:c r="G453" s="2" t="str">
        <x:v>SURFACE_MOUNT</x:v>
      </x:c>
      <x:c r="H453" s="2" t="str">
        <x:v>REFERENCE_MPN_RETAINED</x:v>
      </x:c>
      <x:c r="I453" s="2" t="str">
        <x:v>Не выпущено</x:v>
      </x:c>
      <x:c r="J453" s="31" t="str"/>
      <x:c r="K453" s="31" t="str">
        <x:v>https://www.molex.com/en-us/products/part-detail/1040310811</x:v>
      </x:c>
      <x:c r="L453" s="31" t="str">
        <x:v>Existing schematic MPN retained. Complete circuit rating/temperature and package signoff is still required.</x:v>
      </x:c>
    </x:row>
    <x:row r="454" ht="38" customHeight="1">
      <x:c r="A454" s="12" t="str">
        <x:v>J5600</x:v>
      </x:c>
      <x:c r="B454" s="12" t="str">
        <x:v>Conn_02x03_Odd_Even</x:v>
      </x:c>
      <x:c r="C454" s="12" t="str">
        <x:v>Элемент PCB</x:v>
      </x:c>
      <x:c r="D454" s="11" t="str"/>
      <x:c r="E454" s="12" t="str"/>
      <x:c r="F454" s="11" t="str">
        <x:v>Connector:Tag-Connect_TC2030-IDC-NL_2x03_P1.27mm_Vertical</x:v>
      </x:c>
      <x:c r="G454" s="12" t="str">
        <x:v>BARE_PCB_FEATURE</x:v>
      </x:c>
      <x:c r="H454" s="12" t="str">
        <x:v>Исключено из закупки</x:v>
      </x:c>
      <x:c r="I454" s="12" t="str">
        <x:v>Нет</x:v>
      </x:c>
      <x:c r="J454" s="33" t="str"/>
      <x:c r="K454" s="33" t="str"/>
      <x:c r="L454" s="33" t="str"/>
    </x:row>
    <x:row r="455" ht="38" customHeight="1">
      <x:c r="A455" s="2" t="str">
        <x:v>L201</x:v>
      </x:c>
      <x:c r="B455" s="2" t="str">
        <x:v>6.8uH</x:v>
      </x:c>
      <x:c r="C455" s="2" t="str">
        <x:v>Да</x:v>
      </x:c>
      <x:c r="D455" s="8" t="str">
        <x:v>MS1350-6R8M</x:v>
      </x:c>
      <x:c r="E455" s="2" t="str">
        <x:v>COILMX</x:v>
      </x:c>
      <x:c r="F455" s="8" t="str">
        <x:v>L_Wuerth_HCI-1350</x:v>
      </x:c>
      <x:c r="G455" s="2" t="str">
        <x:v>SURFACE_MOUNT</x:v>
      </x:c>
      <x:c r="H455" s="2" t="str">
        <x:v>SELECTED_CONDITIONAL</x:v>
      </x:c>
      <x:c r="I455" s="2" t="str">
        <x:v>Не выпущено</x:v>
      </x:c>
      <x:c r="J455" s="31" t="str">
        <x:v>inductance_uh: 6.8; tolerance_pct: 20; dcr_mohm: 18; catalog_current_a: 10; catalog_saturation_current_a: 14; isat_definition: None; irms_thermal_definition: None; body_mm: [13.8, 12.6]</x:v>
      </x:c>
      <x:c r="K455" s="31" t="str">
        <x:v>https://jlcpcb.com/partdetail/COILMX-MS13506R8M/C380073</x:v>
      </x:c>
      <x:c r="L455" s="31" t="str">
        <x:v>Original vendor identity recovered. Saturation drop percentage, minimum Isat, hot Irms and DCR max not confirmed; compare actual pads with vendor drawing before purchase.</x:v>
      </x:c>
    </x:row>
    <x:row r="456" ht="38" customHeight="1">
      <x:c r="A456" s="12" t="str">
        <x:v>L202</x:v>
      </x:c>
      <x:c r="B456" s="12" t="str">
        <x:v>10uH</x:v>
      </x:c>
      <x:c r="C456" s="12" t="str">
        <x:v>Да</x:v>
      </x:c>
      <x:c r="D456" s="11" t="str">
        <x:v>BCIHP1770-100M</x:v>
      </x:c>
      <x:c r="E456" s="12" t="str">
        <x:v>BaoCheng</x:v>
      </x:c>
      <x:c r="F456" s="11" t="str">
        <x:v>L_Vishay_IHLP-6767</x:v>
      </x:c>
      <x:c r="G456" s="12" t="str">
        <x:v>SURFACE_MOUNT</x:v>
      </x:c>
      <x:c r="H456" s="12" t="str">
        <x:v>SELECTED_CONDITIONAL</x:v>
      </x:c>
      <x:c r="I456" s="12" t="str">
        <x:v>Не выпущено</x:v>
      </x:c>
      <x:c r="J456" s="33" t="str">
        <x:v>inductance_uh: 10; tolerance_pct: 20; dcr_mohm: 8.89; catalog_current_a: 17; catalog_saturation_current_a: 17; isat_definition: None; irms_thermal_definition: None</x:v>
      </x:c>
      <x:c r="K456" s="33" t="str">
        <x:v>https://www.lcsc.com/pt/product-detail/C237980.html</x:v>
      </x:c>
      <x:c r="L456" s="33" t="str">
        <x:v>Original vendor identity recovered. Saturation definition, guaranteed minimum, temperature rise, pad/height compatibility need manufacturer drawing and magnetic bench review.</x:v>
      </x:c>
    </x:row>
    <x:row r="457" ht="38" customHeight="1">
      <x:c r="A457" s="2" t="str">
        <x:v>L301</x:v>
      </x:c>
      <x:c r="B457" s="2" t="str">
        <x:v>6.8uH</x:v>
      </x:c>
      <x:c r="C457" s="2" t="str">
        <x:v>Да</x:v>
      </x:c>
      <x:c r="D457" s="8" t="str">
        <x:v>MS1350-6R8M</x:v>
      </x:c>
      <x:c r="E457" s="2" t="str">
        <x:v>COILMX</x:v>
      </x:c>
      <x:c r="F457" s="8" t="str">
        <x:v>L_Wuerth_HCI-1350</x:v>
      </x:c>
      <x:c r="G457" s="2" t="str">
        <x:v>SURFACE_MOUNT</x:v>
      </x:c>
      <x:c r="H457" s="2" t="str">
        <x:v>SELECTED_CONDITIONAL</x:v>
      </x:c>
      <x:c r="I457" s="2" t="str">
        <x:v>Не выпущено</x:v>
      </x:c>
      <x:c r="J457" s="31" t="str">
        <x:v>inductance_uh: 6.8; tolerance_pct: 20; dcr_mohm: 18; catalog_current_a: 10; catalog_saturation_current_a: 14; isat_definition: None; irms_thermal_definition: None; body_mm: [13.8, 12.6]</x:v>
      </x:c>
      <x:c r="K457" s="31" t="str">
        <x:v>https://jlcpcb.com/partdetail/COILMX-MS13506R8M/C380073</x:v>
      </x:c>
      <x:c r="L457" s="31" t="str">
        <x:v>Original vendor identity recovered. Saturation drop percentage, minimum Isat, hot Irms and DCR max not confirmed; compare actual pads with vendor drawing before purchase.</x:v>
      </x:c>
    </x:row>
    <x:row r="458" ht="38" customHeight="1">
      <x:c r="A458" s="12" t="str">
        <x:v>L302</x:v>
      </x:c>
      <x:c r="B458" s="12" t="str">
        <x:v>10uH</x:v>
      </x:c>
      <x:c r="C458" s="12" t="str">
        <x:v>Да</x:v>
      </x:c>
      <x:c r="D458" s="11" t="str">
        <x:v>BCIHP1770-100M</x:v>
      </x:c>
      <x:c r="E458" s="12" t="str">
        <x:v>BaoCheng</x:v>
      </x:c>
      <x:c r="F458" s="11" t="str">
        <x:v>L_Vishay_IHLP-6767</x:v>
      </x:c>
      <x:c r="G458" s="12" t="str">
        <x:v>SURFACE_MOUNT</x:v>
      </x:c>
      <x:c r="H458" s="12" t="str">
        <x:v>SELECTED_CONDITIONAL</x:v>
      </x:c>
      <x:c r="I458" s="12" t="str">
        <x:v>Не выпущено</x:v>
      </x:c>
      <x:c r="J458" s="33" t="str">
        <x:v>inductance_uh: 10; tolerance_pct: 20; dcr_mohm: 8.89; catalog_current_a: 17; catalog_saturation_current_a: 17; isat_definition: None; irms_thermal_definition: None</x:v>
      </x:c>
      <x:c r="K458" s="33" t="str">
        <x:v>https://www.lcsc.com/pt/product-detail/C237980.html</x:v>
      </x:c>
      <x:c r="L458" s="33" t="str">
        <x:v>Original vendor identity recovered. Saturation definition, guaranteed minimum, temperature rise, pad/height compatibility need manufacturer drawing and magnetic bench review.</x:v>
      </x:c>
    </x:row>
    <x:row r="459" ht="38" customHeight="1">
      <x:c r="A459" s="2" t="str">
        <x:v>L5200</x:v>
      </x:c>
      <x:c r="B459" s="2" t="str">
        <x:v>XAL7070-682MEC 6.8uH</x:v>
      </x:c>
      <x:c r="C459" s="2" t="str">
        <x:v>Да</x:v>
      </x:c>
      <x:c r="D459" s="8" t="str">
        <x:v>XAL7070-682MEC</x:v>
      </x:c>
      <x:c r="E459" s="2" t="str">
        <x:v>Coilcraft</x:v>
      </x:c>
      <x:c r="F459" s="8" t="str">
        <x:v>L_Coilcraft_XAL7070-XXX</x:v>
      </x:c>
      <x:c r="G459" s="2" t="str">
        <x:v>SURFACE_MOUNT</x:v>
      </x:c>
      <x:c r="H459" s="2" t="str">
        <x:v>REFERENCE_MPN_RETAINED</x:v>
      </x:c>
      <x:c r="I459" s="2" t="str">
        <x:v>Не выпущено</x:v>
      </x:c>
      <x:c r="J459" s="31" t="str"/>
      <x:c r="K459" s="31" t="str">
        <x:v>https://www.coilcraft.com/en-us/products/power/shielded-inductors/molded-inductor/xal/xal7070/</x:v>
      </x:c>
      <x:c r="L459" s="31" t="str">
        <x:v>Existing schematic MPN retained. Complete circuit rating/temperature and package signoff is still required.</x:v>
      </x:c>
    </x:row>
    <x:row r="460" ht="38" customHeight="1">
      <x:c r="A460" s="12" t="str">
        <x:v>L5300</x:v>
      </x:c>
      <x:c r="B460" s="12" t="str">
        <x:v>XAL5030-222MEC 2.2uH</x:v>
      </x:c>
      <x:c r="C460" s="12" t="str">
        <x:v>Да</x:v>
      </x:c>
      <x:c r="D460" s="11" t="str">
        <x:v>XAL5030-222MEC</x:v>
      </x:c>
      <x:c r="E460" s="12" t="str">
        <x:v>Coilcraft</x:v>
      </x:c>
      <x:c r="F460" s="11" t="str">
        <x:v>L_Coilcraft_XAL5030-XXX</x:v>
      </x:c>
      <x:c r="G460" s="12" t="str">
        <x:v>SURFACE_MOUNT</x:v>
      </x:c>
      <x:c r="H460" s="12" t="str">
        <x:v>REFERENCE_MPN_RETAINED</x:v>
      </x:c>
      <x:c r="I460" s="12" t="str">
        <x:v>Не выпущено</x:v>
      </x:c>
      <x:c r="J460" s="33" t="str"/>
      <x:c r="K460" s="33" t="str">
        <x:v>https://www.coilcraft.com/en-us/products/power/shielded-inductors/molded-inductor/xal/xal5030/</x:v>
      </x:c>
      <x:c r="L460" s="33" t="str">
        <x:v>Existing schematic MPN retained. Complete circuit rating/temperature and package signoff is still required.</x:v>
      </x:c>
    </x:row>
    <x:row r="461" ht="38" customHeight="1">
      <x:c r="A461" s="2" t="str">
        <x:v>Q201</x:v>
      </x:c>
      <x:c r="B461" s="2" t="str">
        <x:v>IPD60N10S4L12ATMA1</x:v>
      </x:c>
      <x:c r="C461" s="2" t="str">
        <x:v>Да</x:v>
      </x:c>
      <x:c r="D461" s="8" t="str">
        <x:v>IPD60N10S4L12ATMA1</x:v>
      </x:c>
      <x:c r="E461" s="2" t="str">
        <x:v>Infineon Technologies</x:v>
      </x:c>
      <x:c r="F461" s="8" t="str">
        <x:v>TO-252-2</x:v>
      </x:c>
      <x:c r="G461" s="2" t="str">
        <x:v>SURFACE_MOUNT</x:v>
      </x:c>
      <x:c r="H461" s="2" t="str">
        <x:v>SELECTED_CONDITIONAL</x:v>
      </x:c>
      <x:c r="I461" s="2" t="str">
        <x:v>Не выпущено</x:v>
      </x:c>
      <x:c r="J461" s="31" t="str">
        <x:v>vds_max_v: 100; rds_on_max_mohm: 15; rds_on_test_vgs_v: 4.5; tj_max_c: 175; rth_jc_k_w: 1.6; pinout: 1 Gate; 2 and tab Drain; 3 Source; manufacturer_package: PG-TO252-3-313; minimum_gate_drive_v: None</x:v>
      </x:c>
      <x:c r="K461" s="31" t="str">
        <x:v>https://www.infineon.com/assets/row/public/documents/10/49/infineon-ipd60n10s4l-12-ds-en.pdf</x:v>
      </x:c>
      <x:c r="L461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62" ht="38" customHeight="1">
      <x:c r="A462" s="12" t="str">
        <x:v>Q202</x:v>
      </x:c>
      <x:c r="B462" s="12" t="str">
        <x:v>IPD60N10S4L12ATMA1</x:v>
      </x:c>
      <x:c r="C462" s="12" t="str">
        <x:v>Да</x:v>
      </x:c>
      <x:c r="D462" s="11" t="str">
        <x:v>IPD60N10S4L12ATMA1</x:v>
      </x:c>
      <x:c r="E462" s="12" t="str">
        <x:v>Infineon Technologies</x:v>
      </x:c>
      <x:c r="F462" s="11" t="str">
        <x:v>TO-252-2</x:v>
      </x:c>
      <x:c r="G462" s="12" t="str">
        <x:v>SURFACE_MOUNT</x:v>
      </x:c>
      <x:c r="H462" s="12" t="str">
        <x:v>SELECTED_CONDITIONAL</x:v>
      </x:c>
      <x:c r="I462" s="12" t="str">
        <x:v>Не выпущено</x:v>
      </x:c>
      <x:c r="J462" s="33" t="str">
        <x:v>vds_max_v: 100; rds_on_max_mohm: 15; rds_on_test_vgs_v: 4.5; tj_max_c: 175; rth_jc_k_w: 1.6; pinout: 1 Gate; 2 and tab Drain; 3 Source; manufacturer_package: PG-TO252-3-313; minimum_gate_drive_v: None</x:v>
      </x:c>
      <x:c r="K462" s="33" t="str">
        <x:v>https://www.infineon.com/assets/row/public/documents/10/49/infineon-ipd60n10s4l-12-ds-en.pdf</x:v>
      </x:c>
      <x:c r="L462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63" ht="38" customHeight="1">
      <x:c r="A463" s="2" t="str">
        <x:v>Q203</x:v>
      </x:c>
      <x:c r="B463" s="2" t="str">
        <x:v>IPD60N10S4L12ATMA1</x:v>
      </x:c>
      <x:c r="C463" s="2" t="str">
        <x:v>Да</x:v>
      </x:c>
      <x:c r="D463" s="8" t="str">
        <x:v>IPD60N10S4L12ATMA1</x:v>
      </x:c>
      <x:c r="E463" s="2" t="str">
        <x:v>Infineon Technologies</x:v>
      </x:c>
      <x:c r="F463" s="8" t="str">
        <x:v>TO-252-2</x:v>
      </x:c>
      <x:c r="G463" s="2" t="str">
        <x:v>SURFACE_MOUNT</x:v>
      </x:c>
      <x:c r="H463" s="2" t="str">
        <x:v>SELECTED_CONDITIONAL</x:v>
      </x:c>
      <x:c r="I463" s="2" t="str">
        <x:v>Не выпущено</x:v>
      </x:c>
      <x:c r="J463" s="31" t="str">
        <x:v>vds_max_v: 100; rds_on_max_mohm: 15; rds_on_test_vgs_v: 4.5; tj_max_c: 175; rth_jc_k_w: 1.6; pinout: 1 Gate; 2 and tab Drain; 3 Source; manufacturer_package: PG-TO252-3-313; minimum_gate_drive_v: None</x:v>
      </x:c>
      <x:c r="K463" s="31" t="str">
        <x:v>https://www.infineon.com/assets/row/public/documents/10/49/infineon-ipd60n10s4l-12-ds-en.pdf</x:v>
      </x:c>
      <x:c r="L463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64" ht="38" customHeight="1">
      <x:c r="A464" s="12" t="str">
        <x:v>Q204</x:v>
      </x:c>
      <x:c r="B464" s="12" t="str">
        <x:v>IPD60N10S4L12ATMA1</x:v>
      </x:c>
      <x:c r="C464" s="12" t="str">
        <x:v>Да</x:v>
      </x:c>
      <x:c r="D464" s="11" t="str">
        <x:v>IPD60N10S4L12ATMA1</x:v>
      </x:c>
      <x:c r="E464" s="12" t="str">
        <x:v>Infineon Technologies</x:v>
      </x:c>
      <x:c r="F464" s="11" t="str">
        <x:v>TO-252-2</x:v>
      </x:c>
      <x:c r="G464" s="12" t="str">
        <x:v>SURFACE_MOUNT</x:v>
      </x:c>
      <x:c r="H464" s="12" t="str">
        <x:v>SELECTED_CONDITIONAL</x:v>
      </x:c>
      <x:c r="I464" s="12" t="str">
        <x:v>Не выпущено</x:v>
      </x:c>
      <x:c r="J464" s="33" t="str">
        <x:v>vds_max_v: 100; rds_on_max_mohm: 15; rds_on_test_vgs_v: 4.5; tj_max_c: 175; rth_jc_k_w: 1.6; pinout: 1 Gate; 2 and tab Drain; 3 Source; manufacturer_package: PG-TO252-3-313; minimum_gate_drive_v: None</x:v>
      </x:c>
      <x:c r="K464" s="33" t="str">
        <x:v>https://www.infineon.com/assets/row/public/documents/10/49/infineon-ipd60n10s4l-12-ds-en.pdf</x:v>
      </x:c>
      <x:c r="L464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65" ht="38" customHeight="1">
      <x:c r="A465" s="2" t="str">
        <x:v>Q205</x:v>
      </x:c>
      <x:c r="B465" s="2" t="str">
        <x:v>IPD60N10S4L12ATMA1</x:v>
      </x:c>
      <x:c r="C465" s="2" t="str">
        <x:v>Да</x:v>
      </x:c>
      <x:c r="D465" s="8" t="str">
        <x:v>IPD60N10S4L12ATMA1</x:v>
      </x:c>
      <x:c r="E465" s="2" t="str">
        <x:v>Infineon Technologies</x:v>
      </x:c>
      <x:c r="F465" s="8" t="str">
        <x:v>TO-252-2</x:v>
      </x:c>
      <x:c r="G465" s="2" t="str">
        <x:v>SURFACE_MOUNT</x:v>
      </x:c>
      <x:c r="H465" s="2" t="str">
        <x:v>SELECTED_CONDITIONAL</x:v>
      </x:c>
      <x:c r="I465" s="2" t="str">
        <x:v>Не выпущено</x:v>
      </x:c>
      <x:c r="J465" s="31" t="str">
        <x:v>vds_max_v: 100; rds_on_max_mohm: 15; rds_on_test_vgs_v: 4.5; tj_max_c: 175; rth_jc_k_w: 1.6; pinout: 1 Gate; 2 and tab Drain; 3 Source; manufacturer_package: PG-TO252-3-313; minimum_gate_drive_v: None</x:v>
      </x:c>
      <x:c r="K465" s="31" t="str">
        <x:v>https://www.infineon.com/assets/row/public/documents/10/49/infineon-ipd60n10s4l-12-ds-en.pdf</x:v>
      </x:c>
      <x:c r="L465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66" ht="38" customHeight="1">
      <x:c r="A466" s="12" t="str">
        <x:v>Q206</x:v>
      </x:c>
      <x:c r="B466" s="12" t="str">
        <x:v>IPD60N10S4L12ATMA1</x:v>
      </x:c>
      <x:c r="C466" s="12" t="str">
        <x:v>Да</x:v>
      </x:c>
      <x:c r="D466" s="11" t="str">
        <x:v>IPD60N10S4L12ATMA1</x:v>
      </x:c>
      <x:c r="E466" s="12" t="str">
        <x:v>Infineon Technologies</x:v>
      </x:c>
      <x:c r="F466" s="11" t="str">
        <x:v>TO-252-2</x:v>
      </x:c>
      <x:c r="G466" s="12" t="str">
        <x:v>SURFACE_MOUNT</x:v>
      </x:c>
      <x:c r="H466" s="12" t="str">
        <x:v>SELECTED_CONDITIONAL</x:v>
      </x:c>
      <x:c r="I466" s="12" t="str">
        <x:v>Не выпущено</x:v>
      </x:c>
      <x:c r="J466" s="33" t="str">
        <x:v>vds_max_v: 100; rds_on_max_mohm: 15; rds_on_test_vgs_v: 4.5; tj_max_c: 175; rth_jc_k_w: 1.6; pinout: 1 Gate; 2 and tab Drain; 3 Source; manufacturer_package: PG-TO252-3-313; minimum_gate_drive_v: None</x:v>
      </x:c>
      <x:c r="K466" s="33" t="str">
        <x:v>https://www.infineon.com/assets/row/public/documents/10/49/infineon-ipd60n10s4l-12-ds-en.pdf</x:v>
      </x:c>
      <x:c r="L466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67" ht="38" customHeight="1">
      <x:c r="A467" s="2" t="str">
        <x:v>Q207</x:v>
      </x:c>
      <x:c r="B467" s="2" t="str">
        <x:v>IPD60N10S4L12ATMA1</x:v>
      </x:c>
      <x:c r="C467" s="2" t="str">
        <x:v>Да</x:v>
      </x:c>
      <x:c r="D467" s="8" t="str">
        <x:v>IPD60N10S4L12ATMA1</x:v>
      </x:c>
      <x:c r="E467" s="2" t="str">
        <x:v>Infineon Technologies</x:v>
      </x:c>
      <x:c r="F467" s="8" t="str">
        <x:v>TO-252-2</x:v>
      </x:c>
      <x:c r="G467" s="2" t="str">
        <x:v>SURFACE_MOUNT</x:v>
      </x:c>
      <x:c r="H467" s="2" t="str">
        <x:v>SELECTED_CONDITIONAL</x:v>
      </x:c>
      <x:c r="I467" s="2" t="str">
        <x:v>Не выпущено</x:v>
      </x:c>
      <x:c r="J467" s="31" t="str">
        <x:v>vds_max_v: 100; rds_on_max_mohm: 15; rds_on_test_vgs_v: 4.5; tj_max_c: 175; rth_jc_k_w: 1.6; pinout: 1 Gate; 2 and tab Drain; 3 Source; manufacturer_package: PG-TO252-3-313; minimum_gate_drive_v: None</x:v>
      </x:c>
      <x:c r="K467" s="31" t="str">
        <x:v>https://www.infineon.com/assets/row/public/documents/10/49/infineon-ipd60n10s4l-12-ds-en.pdf</x:v>
      </x:c>
      <x:c r="L467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68" ht="38" customHeight="1">
      <x:c r="A468" s="12" t="str">
        <x:v>Q208</x:v>
      </x:c>
      <x:c r="B468" s="12" t="str">
        <x:v>IPD60N10S4L12ATMA1</x:v>
      </x:c>
      <x:c r="C468" s="12" t="str">
        <x:v>Да</x:v>
      </x:c>
      <x:c r="D468" s="11" t="str">
        <x:v>IPD60N10S4L12ATMA1</x:v>
      </x:c>
      <x:c r="E468" s="12" t="str">
        <x:v>Infineon Technologies</x:v>
      </x:c>
      <x:c r="F468" s="11" t="str">
        <x:v>TO-252-2</x:v>
      </x:c>
      <x:c r="G468" s="12" t="str">
        <x:v>SURFACE_MOUNT</x:v>
      </x:c>
      <x:c r="H468" s="12" t="str">
        <x:v>SELECTED_CONDITIONAL</x:v>
      </x:c>
      <x:c r="I468" s="12" t="str">
        <x:v>Не выпущено</x:v>
      </x:c>
      <x:c r="J468" s="33" t="str">
        <x:v>vds_max_v: 100; rds_on_max_mohm: 15; rds_on_test_vgs_v: 4.5; tj_max_c: 175; rth_jc_k_w: 1.6; pinout: 1 Gate; 2 and tab Drain; 3 Source; manufacturer_package: PG-TO252-3-313; minimum_gate_drive_v: None</x:v>
      </x:c>
      <x:c r="K468" s="33" t="str">
        <x:v>https://www.infineon.com/assets/row/public/documents/10/49/infineon-ipd60n10s4l-12-ds-en.pdf</x:v>
      </x:c>
      <x:c r="L468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69" ht="38" customHeight="1">
      <x:c r="A469" s="2" t="str">
        <x:v>Q209</x:v>
      </x:c>
      <x:c r="B469" s="2" t="str">
        <x:v>IPD60N10S4L12ATMA1</x:v>
      </x:c>
      <x:c r="C469" s="2" t="str">
        <x:v>Да</x:v>
      </x:c>
      <x:c r="D469" s="8" t="str">
        <x:v>IPD60N10S4L12ATMA1</x:v>
      </x:c>
      <x:c r="E469" s="2" t="str">
        <x:v>Infineon Technologies</x:v>
      </x:c>
      <x:c r="F469" s="8" t="str">
        <x:v>TO-252-2</x:v>
      </x:c>
      <x:c r="G469" s="2" t="str">
        <x:v>SURFACE_MOUNT</x:v>
      </x:c>
      <x:c r="H469" s="2" t="str">
        <x:v>SELECTED_CONDITIONAL</x:v>
      </x:c>
      <x:c r="I469" s="2" t="str">
        <x:v>Не выпущено</x:v>
      </x:c>
      <x:c r="J469" s="31" t="str">
        <x:v>vds_max_v: 100; rds_on_max_mohm: 15; rds_on_test_vgs_v: 4.5; tj_max_c: 175; rth_jc_k_w: 1.6; pinout: 1 Gate; 2 and tab Drain; 3 Source; manufacturer_package: PG-TO252-3-313; minimum_gate_drive_v: None</x:v>
      </x:c>
      <x:c r="K469" s="31" t="str">
        <x:v>https://www.infineon.com/assets/row/public/documents/10/49/infineon-ipd60n10s4l-12-ds-en.pdf</x:v>
      </x:c>
      <x:c r="L469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70" ht="38" customHeight="1">
      <x:c r="A470" s="12" t="str">
        <x:v>Q211</x:v>
      </x:c>
      <x:c r="B470" s="12" t="str">
        <x:v>IPD60N10S4L12ATMA1</x:v>
      </x:c>
      <x:c r="C470" s="12" t="str">
        <x:v>Да</x:v>
      </x:c>
      <x:c r="D470" s="11" t="str">
        <x:v>IPD60N10S4L12ATMA1</x:v>
      </x:c>
      <x:c r="E470" s="12" t="str">
        <x:v>Infineon Technologies</x:v>
      </x:c>
      <x:c r="F470" s="11" t="str">
        <x:v>TO-252-2</x:v>
      </x:c>
      <x:c r="G470" s="12" t="str">
        <x:v>SURFACE_MOUNT</x:v>
      </x:c>
      <x:c r="H470" s="12" t="str">
        <x:v>SELECTED_CONDITIONAL</x:v>
      </x:c>
      <x:c r="I470" s="12" t="str">
        <x:v>Не выпущено</x:v>
      </x:c>
      <x:c r="J470" s="33" t="str">
        <x:v>vds_max_v: 100; rds_on_max_mohm: 15; rds_on_test_vgs_v: 4.5; tj_max_c: 175; rth_jc_k_w: 1.6; pinout: 1 Gate; 2 and tab Drain; 3 Source; manufacturer_package: PG-TO252-3-313; minimum_gate_drive_v: None</x:v>
      </x:c>
      <x:c r="K470" s="33" t="str">
        <x:v>https://www.infineon.com/assets/row/public/documents/10/49/infineon-ipd60n10s4l-12-ds-en.pdf</x:v>
      </x:c>
      <x:c r="L470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71" ht="38" customHeight="1">
      <x:c r="A471" s="2" t="str">
        <x:v>Q212</x:v>
      </x:c>
      <x:c r="B471" s="2" t="str">
        <x:v>IPD60N10S4L12ATMA1</x:v>
      </x:c>
      <x:c r="C471" s="2" t="str">
        <x:v>Да</x:v>
      </x:c>
      <x:c r="D471" s="8" t="str">
        <x:v>IPD60N10S4L12ATMA1</x:v>
      </x:c>
      <x:c r="E471" s="2" t="str">
        <x:v>Infineon Technologies</x:v>
      </x:c>
      <x:c r="F471" s="8" t="str">
        <x:v>TO-252-2</x:v>
      </x:c>
      <x:c r="G471" s="2" t="str">
        <x:v>SURFACE_MOUNT</x:v>
      </x:c>
      <x:c r="H471" s="2" t="str">
        <x:v>SELECTED_CONDITIONAL</x:v>
      </x:c>
      <x:c r="I471" s="2" t="str">
        <x:v>Не выпущено</x:v>
      </x:c>
      <x:c r="J471" s="31" t="str">
        <x:v>vds_max_v: 100; rds_on_max_mohm: 15; rds_on_test_vgs_v: 4.5; tj_max_c: 175; rth_jc_k_w: 1.6; pinout: 1 Gate; 2 and tab Drain; 3 Source; manufacturer_package: PG-TO252-3-313; minimum_gate_drive_v: None</x:v>
      </x:c>
      <x:c r="K471" s="31" t="str">
        <x:v>https://www.infineon.com/assets/row/public/documents/10/49/infineon-ipd60n10s4l-12-ds-en.pdf</x:v>
      </x:c>
      <x:c r="L471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72" ht="38" customHeight="1">
      <x:c r="A472" s="12" t="str">
        <x:v>Q213</x:v>
      </x:c>
      <x:c r="B472" s="12" t="str">
        <x:v>IPD60N10S4L12ATMA1</x:v>
      </x:c>
      <x:c r="C472" s="12" t="str">
        <x:v>Да</x:v>
      </x:c>
      <x:c r="D472" s="11" t="str">
        <x:v>IPD60N10S4L12ATMA1</x:v>
      </x:c>
      <x:c r="E472" s="12" t="str">
        <x:v>Infineon Technologies</x:v>
      </x:c>
      <x:c r="F472" s="11" t="str">
        <x:v>TO-252-2</x:v>
      </x:c>
      <x:c r="G472" s="12" t="str">
        <x:v>SURFACE_MOUNT</x:v>
      </x:c>
      <x:c r="H472" s="12" t="str">
        <x:v>SELECTED_CONDITIONAL</x:v>
      </x:c>
      <x:c r="I472" s="12" t="str">
        <x:v>Не выпущено</x:v>
      </x:c>
      <x:c r="J472" s="33" t="str">
        <x:v>vds_max_v: 100; rds_on_max_mohm: 15; rds_on_test_vgs_v: 4.5; tj_max_c: 175; rth_jc_k_w: 1.6; pinout: 1 Gate; 2 and tab Drain; 3 Source; manufacturer_package: PG-TO252-3-313; minimum_gate_drive_v: None</x:v>
      </x:c>
      <x:c r="K472" s="33" t="str">
        <x:v>https://www.infineon.com/assets/row/public/documents/10/49/infineon-ipd60n10s4l-12-ds-en.pdf</x:v>
      </x:c>
      <x:c r="L472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73" ht="38" customHeight="1">
      <x:c r="A473" s="2" t="str">
        <x:v>Q301</x:v>
      </x:c>
      <x:c r="B473" s="2" t="str">
        <x:v>IPD60N10S4L12ATMA1</x:v>
      </x:c>
      <x:c r="C473" s="2" t="str">
        <x:v>Да</x:v>
      </x:c>
      <x:c r="D473" s="8" t="str">
        <x:v>IPD60N10S4L12ATMA1</x:v>
      </x:c>
      <x:c r="E473" s="2" t="str">
        <x:v>Infineon Technologies</x:v>
      </x:c>
      <x:c r="F473" s="8" t="str">
        <x:v>TO-252-2</x:v>
      </x:c>
      <x:c r="G473" s="2" t="str">
        <x:v>SURFACE_MOUNT</x:v>
      </x:c>
      <x:c r="H473" s="2" t="str">
        <x:v>SELECTED_CONDITIONAL</x:v>
      </x:c>
      <x:c r="I473" s="2" t="str">
        <x:v>Не выпущено</x:v>
      </x:c>
      <x:c r="J473" s="31" t="str">
        <x:v>vds_max_v: 100; rds_on_max_mohm: 15; rds_on_test_vgs_v: 4.5; tj_max_c: 175; rth_jc_k_w: 1.6; pinout: 1 Gate; 2 and tab Drain; 3 Source; manufacturer_package: PG-TO252-3-313; minimum_gate_drive_v: None</x:v>
      </x:c>
      <x:c r="K473" s="31" t="str">
        <x:v>https://www.infineon.com/assets/row/public/documents/10/49/infineon-ipd60n10s4l-12-ds-en.pdf</x:v>
      </x:c>
      <x:c r="L473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74" ht="38" customHeight="1">
      <x:c r="A474" s="12" t="str">
        <x:v>Q302</x:v>
      </x:c>
      <x:c r="B474" s="12" t="str">
        <x:v>IPD60N10S4L12ATMA1</x:v>
      </x:c>
      <x:c r="C474" s="12" t="str">
        <x:v>Да</x:v>
      </x:c>
      <x:c r="D474" s="11" t="str">
        <x:v>IPD60N10S4L12ATMA1</x:v>
      </x:c>
      <x:c r="E474" s="12" t="str">
        <x:v>Infineon Technologies</x:v>
      </x:c>
      <x:c r="F474" s="11" t="str">
        <x:v>TO-252-2</x:v>
      </x:c>
      <x:c r="G474" s="12" t="str">
        <x:v>SURFACE_MOUNT</x:v>
      </x:c>
      <x:c r="H474" s="12" t="str">
        <x:v>SELECTED_CONDITIONAL</x:v>
      </x:c>
      <x:c r="I474" s="12" t="str">
        <x:v>Не выпущено</x:v>
      </x:c>
      <x:c r="J474" s="33" t="str">
        <x:v>vds_max_v: 100; rds_on_max_mohm: 15; rds_on_test_vgs_v: 4.5; tj_max_c: 175; rth_jc_k_w: 1.6; pinout: 1 Gate; 2 and tab Drain; 3 Source; manufacturer_package: PG-TO252-3-313; minimum_gate_drive_v: None</x:v>
      </x:c>
      <x:c r="K474" s="33" t="str">
        <x:v>https://www.infineon.com/assets/row/public/documents/10/49/infineon-ipd60n10s4l-12-ds-en.pdf</x:v>
      </x:c>
      <x:c r="L474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75" ht="38" customHeight="1">
      <x:c r="A475" s="2" t="str">
        <x:v>Q303</x:v>
      </x:c>
      <x:c r="B475" s="2" t="str">
        <x:v>IPD60N10S4L12ATMA1</x:v>
      </x:c>
      <x:c r="C475" s="2" t="str">
        <x:v>Да</x:v>
      </x:c>
      <x:c r="D475" s="8" t="str">
        <x:v>IPD60N10S4L12ATMA1</x:v>
      </x:c>
      <x:c r="E475" s="2" t="str">
        <x:v>Infineon Technologies</x:v>
      </x:c>
      <x:c r="F475" s="8" t="str">
        <x:v>TO-252-2</x:v>
      </x:c>
      <x:c r="G475" s="2" t="str">
        <x:v>SURFACE_MOUNT</x:v>
      </x:c>
      <x:c r="H475" s="2" t="str">
        <x:v>SELECTED_CONDITIONAL</x:v>
      </x:c>
      <x:c r="I475" s="2" t="str">
        <x:v>Не выпущено</x:v>
      </x:c>
      <x:c r="J475" s="31" t="str">
        <x:v>vds_max_v: 100; rds_on_max_mohm: 15; rds_on_test_vgs_v: 4.5; tj_max_c: 175; rth_jc_k_w: 1.6; pinout: 1 Gate; 2 and tab Drain; 3 Source; manufacturer_package: PG-TO252-3-313; minimum_gate_drive_v: None</x:v>
      </x:c>
      <x:c r="K475" s="31" t="str">
        <x:v>https://www.infineon.com/assets/row/public/documents/10/49/infineon-ipd60n10s4l-12-ds-en.pdf</x:v>
      </x:c>
      <x:c r="L475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76" ht="38" customHeight="1">
      <x:c r="A476" s="12" t="str">
        <x:v>Q304</x:v>
      </x:c>
      <x:c r="B476" s="12" t="str">
        <x:v>IPD60N10S4L12ATMA1</x:v>
      </x:c>
      <x:c r="C476" s="12" t="str">
        <x:v>Да</x:v>
      </x:c>
      <x:c r="D476" s="11" t="str">
        <x:v>IPD60N10S4L12ATMA1</x:v>
      </x:c>
      <x:c r="E476" s="12" t="str">
        <x:v>Infineon Technologies</x:v>
      </x:c>
      <x:c r="F476" s="11" t="str">
        <x:v>TO-252-2</x:v>
      </x:c>
      <x:c r="G476" s="12" t="str">
        <x:v>SURFACE_MOUNT</x:v>
      </x:c>
      <x:c r="H476" s="12" t="str">
        <x:v>SELECTED_CONDITIONAL</x:v>
      </x:c>
      <x:c r="I476" s="12" t="str">
        <x:v>Не выпущено</x:v>
      </x:c>
      <x:c r="J476" s="33" t="str">
        <x:v>vds_max_v: 100; rds_on_max_mohm: 15; rds_on_test_vgs_v: 4.5; tj_max_c: 175; rth_jc_k_w: 1.6; pinout: 1 Gate; 2 and tab Drain; 3 Source; manufacturer_package: PG-TO252-3-313; minimum_gate_drive_v: None</x:v>
      </x:c>
      <x:c r="K476" s="33" t="str">
        <x:v>https://www.infineon.com/assets/row/public/documents/10/49/infineon-ipd60n10s4l-12-ds-en.pdf</x:v>
      </x:c>
      <x:c r="L476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77" ht="38" customHeight="1">
      <x:c r="A477" s="2" t="str">
        <x:v>Q305</x:v>
      </x:c>
      <x:c r="B477" s="2" t="str">
        <x:v>IPD60N10S4L12ATMA1</x:v>
      </x:c>
      <x:c r="C477" s="2" t="str">
        <x:v>Да</x:v>
      </x:c>
      <x:c r="D477" s="8" t="str">
        <x:v>IPD60N10S4L12ATMA1</x:v>
      </x:c>
      <x:c r="E477" s="2" t="str">
        <x:v>Infineon Technologies</x:v>
      </x:c>
      <x:c r="F477" s="8" t="str">
        <x:v>TO-252-2</x:v>
      </x:c>
      <x:c r="G477" s="2" t="str">
        <x:v>SURFACE_MOUNT</x:v>
      </x:c>
      <x:c r="H477" s="2" t="str">
        <x:v>SELECTED_CONDITIONAL</x:v>
      </x:c>
      <x:c r="I477" s="2" t="str">
        <x:v>Не выпущено</x:v>
      </x:c>
      <x:c r="J477" s="31" t="str">
        <x:v>vds_max_v: 100; rds_on_max_mohm: 15; rds_on_test_vgs_v: 4.5; tj_max_c: 175; rth_jc_k_w: 1.6; pinout: 1 Gate; 2 and tab Drain; 3 Source; manufacturer_package: PG-TO252-3-313; minimum_gate_drive_v: None</x:v>
      </x:c>
      <x:c r="K477" s="31" t="str">
        <x:v>https://www.infineon.com/assets/row/public/documents/10/49/infineon-ipd60n10s4l-12-ds-en.pdf</x:v>
      </x:c>
      <x:c r="L477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78" ht="38" customHeight="1">
      <x:c r="A478" s="12" t="str">
        <x:v>Q306</x:v>
      </x:c>
      <x:c r="B478" s="12" t="str">
        <x:v>IPD60N10S4L12ATMA1</x:v>
      </x:c>
      <x:c r="C478" s="12" t="str">
        <x:v>Да</x:v>
      </x:c>
      <x:c r="D478" s="11" t="str">
        <x:v>IPD60N10S4L12ATMA1</x:v>
      </x:c>
      <x:c r="E478" s="12" t="str">
        <x:v>Infineon Technologies</x:v>
      </x:c>
      <x:c r="F478" s="11" t="str">
        <x:v>TO-252-2</x:v>
      </x:c>
      <x:c r="G478" s="12" t="str">
        <x:v>SURFACE_MOUNT</x:v>
      </x:c>
      <x:c r="H478" s="12" t="str">
        <x:v>SELECTED_CONDITIONAL</x:v>
      </x:c>
      <x:c r="I478" s="12" t="str">
        <x:v>Не выпущено</x:v>
      </x:c>
      <x:c r="J478" s="33" t="str">
        <x:v>vds_max_v: 100; rds_on_max_mohm: 15; rds_on_test_vgs_v: 4.5; tj_max_c: 175; rth_jc_k_w: 1.6; pinout: 1 Gate; 2 and tab Drain; 3 Source; manufacturer_package: PG-TO252-3-313; minimum_gate_drive_v: None</x:v>
      </x:c>
      <x:c r="K478" s="33" t="str">
        <x:v>https://www.infineon.com/assets/row/public/documents/10/49/infineon-ipd60n10s4l-12-ds-en.pdf</x:v>
      </x:c>
      <x:c r="L478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79" ht="38" customHeight="1">
      <x:c r="A479" s="2" t="str">
        <x:v>Q307</x:v>
      </x:c>
      <x:c r="B479" s="2" t="str">
        <x:v>IPD60N10S4L12ATMA1</x:v>
      </x:c>
      <x:c r="C479" s="2" t="str">
        <x:v>Да</x:v>
      </x:c>
      <x:c r="D479" s="8" t="str">
        <x:v>IPD60N10S4L12ATMA1</x:v>
      </x:c>
      <x:c r="E479" s="2" t="str">
        <x:v>Infineon Technologies</x:v>
      </x:c>
      <x:c r="F479" s="8" t="str">
        <x:v>TO-252-2</x:v>
      </x:c>
      <x:c r="G479" s="2" t="str">
        <x:v>SURFACE_MOUNT</x:v>
      </x:c>
      <x:c r="H479" s="2" t="str">
        <x:v>SELECTED_CONDITIONAL</x:v>
      </x:c>
      <x:c r="I479" s="2" t="str">
        <x:v>Не выпущено</x:v>
      </x:c>
      <x:c r="J479" s="31" t="str">
        <x:v>vds_max_v: 100; rds_on_max_mohm: 15; rds_on_test_vgs_v: 4.5; tj_max_c: 175; rth_jc_k_w: 1.6; pinout: 1 Gate; 2 and tab Drain; 3 Source; manufacturer_package: PG-TO252-3-313; minimum_gate_drive_v: None</x:v>
      </x:c>
      <x:c r="K479" s="31" t="str">
        <x:v>https://www.infineon.com/assets/row/public/documents/10/49/infineon-ipd60n10s4l-12-ds-en.pdf</x:v>
      </x:c>
      <x:c r="L479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80" ht="38" customHeight="1">
      <x:c r="A480" s="12" t="str">
        <x:v>Q308</x:v>
      </x:c>
      <x:c r="B480" s="12" t="str">
        <x:v>IPD60N10S4L12ATMA1</x:v>
      </x:c>
      <x:c r="C480" s="12" t="str">
        <x:v>Да</x:v>
      </x:c>
      <x:c r="D480" s="11" t="str">
        <x:v>IPD60N10S4L12ATMA1</x:v>
      </x:c>
      <x:c r="E480" s="12" t="str">
        <x:v>Infineon Technologies</x:v>
      </x:c>
      <x:c r="F480" s="11" t="str">
        <x:v>TO-252-2</x:v>
      </x:c>
      <x:c r="G480" s="12" t="str">
        <x:v>SURFACE_MOUNT</x:v>
      </x:c>
      <x:c r="H480" s="12" t="str">
        <x:v>SELECTED_CONDITIONAL</x:v>
      </x:c>
      <x:c r="I480" s="12" t="str">
        <x:v>Не выпущено</x:v>
      </x:c>
      <x:c r="J480" s="33" t="str">
        <x:v>vds_max_v: 100; rds_on_max_mohm: 15; rds_on_test_vgs_v: 4.5; tj_max_c: 175; rth_jc_k_w: 1.6; pinout: 1 Gate; 2 and tab Drain; 3 Source; manufacturer_package: PG-TO252-3-313; minimum_gate_drive_v: None</x:v>
      </x:c>
      <x:c r="K480" s="33" t="str">
        <x:v>https://www.infineon.com/assets/row/public/documents/10/49/infineon-ipd60n10s4l-12-ds-en.pdf</x:v>
      </x:c>
      <x:c r="L480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81" ht="38" customHeight="1">
      <x:c r="A481" s="2" t="str">
        <x:v>Q309</x:v>
      </x:c>
      <x:c r="B481" s="2" t="str">
        <x:v>IPD60N10S4L12ATMA1</x:v>
      </x:c>
      <x:c r="C481" s="2" t="str">
        <x:v>Да</x:v>
      </x:c>
      <x:c r="D481" s="8" t="str">
        <x:v>IPD60N10S4L12ATMA1</x:v>
      </x:c>
      <x:c r="E481" s="2" t="str">
        <x:v>Infineon Technologies</x:v>
      </x:c>
      <x:c r="F481" s="8" t="str">
        <x:v>TO-252-2</x:v>
      </x:c>
      <x:c r="G481" s="2" t="str">
        <x:v>SURFACE_MOUNT</x:v>
      </x:c>
      <x:c r="H481" s="2" t="str">
        <x:v>SELECTED_CONDITIONAL</x:v>
      </x:c>
      <x:c r="I481" s="2" t="str">
        <x:v>Не выпущено</x:v>
      </x:c>
      <x:c r="J481" s="31" t="str">
        <x:v>vds_max_v: 100; rds_on_max_mohm: 15; rds_on_test_vgs_v: 4.5; tj_max_c: 175; rth_jc_k_w: 1.6; pinout: 1 Gate; 2 and tab Drain; 3 Source; manufacturer_package: PG-TO252-3-313; minimum_gate_drive_v: None</x:v>
      </x:c>
      <x:c r="K481" s="31" t="str">
        <x:v>https://www.infineon.com/assets/row/public/documents/10/49/infineon-ipd60n10s4l-12-ds-en.pdf</x:v>
      </x:c>
      <x:c r="L481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82" ht="38" customHeight="1">
      <x:c r="A482" s="12" t="str">
        <x:v>Q311</x:v>
      </x:c>
      <x:c r="B482" s="12" t="str">
        <x:v>IPD60N10S4L12ATMA1</x:v>
      </x:c>
      <x:c r="C482" s="12" t="str">
        <x:v>Да</x:v>
      </x:c>
      <x:c r="D482" s="11" t="str">
        <x:v>IPD60N10S4L12ATMA1</x:v>
      </x:c>
      <x:c r="E482" s="12" t="str">
        <x:v>Infineon Technologies</x:v>
      </x:c>
      <x:c r="F482" s="11" t="str">
        <x:v>TO-252-2</x:v>
      </x:c>
      <x:c r="G482" s="12" t="str">
        <x:v>SURFACE_MOUNT</x:v>
      </x:c>
      <x:c r="H482" s="12" t="str">
        <x:v>SELECTED_CONDITIONAL</x:v>
      </x:c>
      <x:c r="I482" s="12" t="str">
        <x:v>Не выпущено</x:v>
      </x:c>
      <x:c r="J482" s="33" t="str">
        <x:v>vds_max_v: 100; rds_on_max_mohm: 15; rds_on_test_vgs_v: 4.5; tj_max_c: 175; rth_jc_k_w: 1.6; pinout: 1 Gate; 2 and tab Drain; 3 Source; manufacturer_package: PG-TO252-3-313; minimum_gate_drive_v: None</x:v>
      </x:c>
      <x:c r="K482" s="33" t="str">
        <x:v>https://www.infineon.com/assets/row/public/documents/10/49/infineon-ipd60n10s4l-12-ds-en.pdf</x:v>
      </x:c>
      <x:c r="L482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83" ht="38" customHeight="1">
      <x:c r="A483" s="2" t="str">
        <x:v>Q312</x:v>
      </x:c>
      <x:c r="B483" s="2" t="str">
        <x:v>IPD60N10S4L12ATMA1</x:v>
      </x:c>
      <x:c r="C483" s="2" t="str">
        <x:v>Да</x:v>
      </x:c>
      <x:c r="D483" s="8" t="str">
        <x:v>IPD60N10S4L12ATMA1</x:v>
      </x:c>
      <x:c r="E483" s="2" t="str">
        <x:v>Infineon Technologies</x:v>
      </x:c>
      <x:c r="F483" s="8" t="str">
        <x:v>TO-252-2</x:v>
      </x:c>
      <x:c r="G483" s="2" t="str">
        <x:v>SURFACE_MOUNT</x:v>
      </x:c>
      <x:c r="H483" s="2" t="str">
        <x:v>SELECTED_CONDITIONAL</x:v>
      </x:c>
      <x:c r="I483" s="2" t="str">
        <x:v>Не выпущено</x:v>
      </x:c>
      <x:c r="J483" s="31" t="str">
        <x:v>vds_max_v: 100; rds_on_max_mohm: 15; rds_on_test_vgs_v: 4.5; tj_max_c: 175; rth_jc_k_w: 1.6; pinout: 1 Gate; 2 and tab Drain; 3 Source; manufacturer_package: PG-TO252-3-313; minimum_gate_drive_v: None</x:v>
      </x:c>
      <x:c r="K483" s="31" t="str">
        <x:v>https://www.infineon.com/assets/row/public/documents/10/49/infineon-ipd60n10s4l-12-ds-en.pdf</x:v>
      </x:c>
      <x:c r="L483" s="31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84" ht="38" customHeight="1">
      <x:c r="A484" s="12" t="str">
        <x:v>Q313</x:v>
      </x:c>
      <x:c r="B484" s="12" t="str">
        <x:v>IPD60N10S4L12ATMA1</x:v>
      </x:c>
      <x:c r="C484" s="12" t="str">
        <x:v>Да</x:v>
      </x:c>
      <x:c r="D484" s="11" t="str">
        <x:v>IPD60N10S4L12ATMA1</x:v>
      </x:c>
      <x:c r="E484" s="12" t="str">
        <x:v>Infineon Technologies</x:v>
      </x:c>
      <x:c r="F484" s="11" t="str">
        <x:v>TO-252-2</x:v>
      </x:c>
      <x:c r="G484" s="12" t="str">
        <x:v>SURFACE_MOUNT</x:v>
      </x:c>
      <x:c r="H484" s="12" t="str">
        <x:v>SELECTED_CONDITIONAL</x:v>
      </x:c>
      <x:c r="I484" s="12" t="str">
        <x:v>Не выпущено</x:v>
      </x:c>
      <x:c r="J484" s="33" t="str">
        <x:v>vds_max_v: 100; rds_on_max_mohm: 15; rds_on_test_vgs_v: 4.5; tj_max_c: 175; rth_jc_k_w: 1.6; pinout: 1 Gate; 2 and tab Drain; 3 Source; manufacturer_package: PG-TO252-3-313; minimum_gate_drive_v: None</x:v>
      </x:c>
      <x:c r="K484" s="33" t="str">
        <x:v>https://www.infineon.com/assets/row/public/documents/10/49/infineon-ipd60n10s4l-12-ds-en.pdf</x:v>
      </x:c>
      <x:c r="L484" s="33" t="str">
        <x:v>Hardware engineer approved candidate and matched DPAK geometry. Gate-drive minimum, avalanche, repetitive current and thermal bench qualification pending. RthJC 1.6K/W exceeds old 0.95K/W; Tj limit175C below old185C.; Observed distributor stock55 does not cover240 devices for10 boards; quantity sourcing gate.</x:v>
      </x:c>
    </x:row>
    <x:row r="485" ht="38" customHeight="1">
      <x:c r="A485" s="2" t="str">
        <x:v>Q1510</x:v>
      </x:c>
      <x:c r="B485" s="2" t="str">
        <x:v>2N7002,215</x:v>
      </x:c>
      <x:c r="C485" s="2" t="str">
        <x:v>Да</x:v>
      </x:c>
      <x:c r="D485" s="8" t="str">
        <x:v>2N7002,215</x:v>
      </x:c>
      <x:c r="E485" s="2" t="str">
        <x:v>Nexperia</x:v>
      </x:c>
      <x:c r="F485" s="8" t="str">
        <x:v>SOT-23</x:v>
      </x:c>
      <x:c r="G485" s="2" t="str">
        <x:v>SURFACE_MOUNT</x:v>
      </x:c>
      <x:c r="H485" s="2" t="str">
        <x:v>REFERENCE_MPN_RETAINED</x:v>
      </x:c>
      <x:c r="I485" s="2" t="str">
        <x:v>Не выпущено</x:v>
      </x:c>
      <x:c r="J485" s="31" t="str"/>
      <x:c r="K485" s="31" t="str">
        <x:v>https://www.nexperia.com/product/2N7002</x:v>
      </x:c>
      <x:c r="L485" s="31" t="str">
        <x:v>Existing schematic MPN retained. Complete circuit rating/temperature and package signoff is still required.</x:v>
      </x:c>
    </x:row>
    <x:row r="486" ht="38" customHeight="1">
      <x:c r="A486" s="12" t="str">
        <x:v>Q5001</x:v>
      </x:c>
      <x:c r="B486" s="12" t="str">
        <x:v>IPD90N10S4-06</x:v>
      </x:c>
      <x:c r="C486" s="12" t="str">
        <x:v>Да</x:v>
      </x:c>
      <x:c r="D486" s="11" t="str">
        <x:v>IPD90N10S406ATMA1</x:v>
      </x:c>
      <x:c r="E486" s="12" t="str">
        <x:v>Infineon Technologies</x:v>
      </x:c>
      <x:c r="F486" s="11" t="str">
        <x:v>TO-252-2</x:v>
      </x:c>
      <x:c r="G486" s="12" t="str">
        <x:v>SURFACE_MOUNT</x:v>
      </x:c>
      <x:c r="H486" s="12" t="str">
        <x:v>REFERENCE_MPN_RETAINED</x:v>
      </x:c>
      <x:c r="I486" s="12" t="str">
        <x:v>Не выпущено</x:v>
      </x:c>
      <x:c r="J486" s="33" t="str"/>
      <x:c r="K486" s="33" t="str">
        <x:v>https://www.infineon.com/part/IPD90N10S4-06</x:v>
      </x:c>
      <x:c r="L486" s="33" t="str">
        <x:v>Existing schematic MPN retained. Complete circuit rating/temperature and package signoff is still required.</x:v>
      </x:c>
    </x:row>
    <x:row r="487" ht="38" customHeight="1">
      <x:c r="A487" s="2" t="str">
        <x:v>Q5002</x:v>
      </x:c>
      <x:c r="B487" s="2" t="str">
        <x:v>IPD90N10S4-06</x:v>
      </x:c>
      <x:c r="C487" s="2" t="str">
        <x:v>Да</x:v>
      </x:c>
      <x:c r="D487" s="8" t="str">
        <x:v>IPD90N10S406ATMA1</x:v>
      </x:c>
      <x:c r="E487" s="2" t="str">
        <x:v>Infineon Technologies</x:v>
      </x:c>
      <x:c r="F487" s="8" t="str">
        <x:v>TO-252-2</x:v>
      </x:c>
      <x:c r="G487" s="2" t="str">
        <x:v>SURFACE_MOUNT</x:v>
      </x:c>
      <x:c r="H487" s="2" t="str">
        <x:v>REFERENCE_MPN_RETAINED</x:v>
      </x:c>
      <x:c r="I487" s="2" t="str">
        <x:v>Не выпущено</x:v>
      </x:c>
      <x:c r="J487" s="31" t="str"/>
      <x:c r="K487" s="31" t="str">
        <x:v>https://www.infineon.com/part/IPD90N10S4-06</x:v>
      </x:c>
      <x:c r="L487" s="31" t="str">
        <x:v>Existing schematic MPN retained. Complete circuit rating/temperature and package signoff is still required.</x:v>
      </x:c>
    </x:row>
    <x:row r="488" ht="38" customHeight="1">
      <x:c r="A488" s="12" t="str">
        <x:v>Q5051</x:v>
      </x:c>
      <x:c r="B488" s="12" t="str">
        <x:v>IPD90N10S4-06</x:v>
      </x:c>
      <x:c r="C488" s="12" t="str">
        <x:v>Да</x:v>
      </x:c>
      <x:c r="D488" s="11" t="str">
        <x:v>IPD90N10S406ATMA1</x:v>
      </x:c>
      <x:c r="E488" s="12" t="str">
        <x:v>Infineon Technologies</x:v>
      </x:c>
      <x:c r="F488" s="11" t="str">
        <x:v>TO-252-2</x:v>
      </x:c>
      <x:c r="G488" s="12" t="str">
        <x:v>SURFACE_MOUNT</x:v>
      </x:c>
      <x:c r="H488" s="12" t="str">
        <x:v>REFERENCE_MPN_RETAINED</x:v>
      </x:c>
      <x:c r="I488" s="12" t="str">
        <x:v>Не выпущено</x:v>
      </x:c>
      <x:c r="J488" s="33" t="str"/>
      <x:c r="K488" s="33" t="str">
        <x:v>https://www.infineon.com/part/IPD90N10S4-06</x:v>
      </x:c>
      <x:c r="L488" s="33" t="str">
        <x:v>Existing schematic MPN retained. Complete circuit rating/temperature and package signoff is still required.</x:v>
      </x:c>
    </x:row>
    <x:row r="489" ht="38" customHeight="1">
      <x:c r="A489" s="2" t="str">
        <x:v>Q5052</x:v>
      </x:c>
      <x:c r="B489" s="2" t="str">
        <x:v>IPD90N10S4-06</x:v>
      </x:c>
      <x:c r="C489" s="2" t="str">
        <x:v>Да</x:v>
      </x:c>
      <x:c r="D489" s="8" t="str">
        <x:v>IPD90N10S406ATMA1</x:v>
      </x:c>
      <x:c r="E489" s="2" t="str">
        <x:v>Infineon Technologies</x:v>
      </x:c>
      <x:c r="F489" s="8" t="str">
        <x:v>TO-252-2</x:v>
      </x:c>
      <x:c r="G489" s="2" t="str">
        <x:v>SURFACE_MOUNT</x:v>
      </x:c>
      <x:c r="H489" s="2" t="str">
        <x:v>REFERENCE_MPN_RETAINED</x:v>
      </x:c>
      <x:c r="I489" s="2" t="str">
        <x:v>Не выпущено</x:v>
      </x:c>
      <x:c r="J489" s="31" t="str"/>
      <x:c r="K489" s="31" t="str">
        <x:v>https://www.infineon.com/part/IPD90N10S4-06</x:v>
      </x:c>
      <x:c r="L489" s="31" t="str">
        <x:v>Existing schematic MPN retained. Complete circuit rating/temperature and package signoff is still required.</x:v>
      </x:c>
    </x:row>
    <x:row r="490" ht="38" customHeight="1">
      <x:c r="A490" s="12" t="str">
        <x:v>Q5420</x:v>
      </x:c>
      <x:c r="B490" s="12" t="str">
        <x:v>STGB18N40LZT4</x:v>
      </x:c>
      <x:c r="C490" s="12" t="str">
        <x:v>Да</x:v>
      </x:c>
      <x:c r="D490" s="11" t="str">
        <x:v>STGB18N40LZT4</x:v>
      </x:c>
      <x:c r="E490" s="12" t="str">
        <x:v>STMicroelectronics</x:v>
      </x:c>
      <x:c r="F490" s="11" t="str">
        <x:v>TO-263-2</x:v>
      </x:c>
      <x:c r="G490" s="12" t="str">
        <x:v>SURFACE_MOUNT</x:v>
      </x:c>
      <x:c r="H490" s="12" t="str">
        <x:v>REFERENCE_MPN_RETAINED</x:v>
      </x:c>
      <x:c r="I490" s="12" t="str">
        <x:v>Не выпущено</x:v>
      </x:c>
      <x:c r="J490" s="33" t="str"/>
      <x:c r="K490" s="33" t="str">
        <x:v>https://www.st.com/en/search.html#q=STGB18N40LZT4</x:v>
      </x:c>
      <x:c r="L490" s="33" t="str">
        <x:v>Existing schematic MPN retained. Complete circuit rating/temperature and package signoff is still required.</x:v>
      </x:c>
    </x:row>
    <x:row r="491" ht="38" customHeight="1">
      <x:c r="A491" s="2" t="str">
        <x:v>Q5440</x:v>
      </x:c>
      <x:c r="B491" s="2" t="str">
        <x:v>STGB18N40LZT4</x:v>
      </x:c>
      <x:c r="C491" s="2" t="str">
        <x:v>Да</x:v>
      </x:c>
      <x:c r="D491" s="8" t="str">
        <x:v>STGB18N40LZT4</x:v>
      </x:c>
      <x:c r="E491" s="2" t="str">
        <x:v>STMicroelectronics</x:v>
      </x:c>
      <x:c r="F491" s="8" t="str">
        <x:v>TO-263-2</x:v>
      </x:c>
      <x:c r="G491" s="2" t="str">
        <x:v>SURFACE_MOUNT</x:v>
      </x:c>
      <x:c r="H491" s="2" t="str">
        <x:v>REFERENCE_MPN_RETAINED</x:v>
      </x:c>
      <x:c r="I491" s="2" t="str">
        <x:v>Не выпущено</x:v>
      </x:c>
      <x:c r="J491" s="31" t="str"/>
      <x:c r="K491" s="31" t="str">
        <x:v>https://www.st.com/en/search.html#q=STGB18N40LZT4</x:v>
      </x:c>
      <x:c r="L491" s="31" t="str">
        <x:v>Existing schematic MPN retained. Complete circuit rating/temperature and package signoff is still required.</x:v>
      </x:c>
    </x:row>
    <x:row r="492" ht="38" customHeight="1">
      <x:c r="A492" s="12" t="str">
        <x:v>Q5460</x:v>
      </x:c>
      <x:c r="B492" s="12" t="str">
        <x:v>STGB18N40LZT4</x:v>
      </x:c>
      <x:c r="C492" s="12" t="str">
        <x:v>Да</x:v>
      </x:c>
      <x:c r="D492" s="11" t="str">
        <x:v>STGB18N40LZT4</x:v>
      </x:c>
      <x:c r="E492" s="12" t="str">
        <x:v>STMicroelectronics</x:v>
      </x:c>
      <x:c r="F492" s="11" t="str">
        <x:v>TO-263-2</x:v>
      </x:c>
      <x:c r="G492" s="12" t="str">
        <x:v>SURFACE_MOUNT</x:v>
      </x:c>
      <x:c r="H492" s="12" t="str">
        <x:v>REFERENCE_MPN_RETAINED</x:v>
      </x:c>
      <x:c r="I492" s="12" t="str">
        <x:v>Не выпущено</x:v>
      </x:c>
      <x:c r="J492" s="33" t="str"/>
      <x:c r="K492" s="33" t="str">
        <x:v>https://www.st.com/en/search.html#q=STGB18N40LZT4</x:v>
      </x:c>
      <x:c r="L492" s="33" t="str">
        <x:v>Existing schematic MPN retained. Complete circuit rating/temperature and package signoff is still required.</x:v>
      </x:c>
    </x:row>
    <x:row r="493" ht="38" customHeight="1">
      <x:c r="A493" s="2" t="str">
        <x:v>Q5480</x:v>
      </x:c>
      <x:c r="B493" s="2" t="str">
        <x:v>STGB18N40LZT4</x:v>
      </x:c>
      <x:c r="C493" s="2" t="str">
        <x:v>Да</x:v>
      </x:c>
      <x:c r="D493" s="8" t="str">
        <x:v>STGB18N40LZT4</x:v>
      </x:c>
      <x:c r="E493" s="2" t="str">
        <x:v>STMicroelectronics</x:v>
      </x:c>
      <x:c r="F493" s="8" t="str">
        <x:v>TO-263-2</x:v>
      </x:c>
      <x:c r="G493" s="2" t="str">
        <x:v>SURFACE_MOUNT</x:v>
      </x:c>
      <x:c r="H493" s="2" t="str">
        <x:v>REFERENCE_MPN_RETAINED</x:v>
      </x:c>
      <x:c r="I493" s="2" t="str">
        <x:v>Не выпущено</x:v>
      </x:c>
      <x:c r="J493" s="31" t="str"/>
      <x:c r="K493" s="31" t="str">
        <x:v>https://www.st.com/en/search.html#q=STGB18N40LZT4</x:v>
      </x:c>
      <x:c r="L493" s="31" t="str">
        <x:v>Existing schematic MPN retained. Complete circuit rating/temperature and package signoff is still required.</x:v>
      </x:c>
    </x:row>
    <x:row r="494" ht="38" customHeight="1">
      <x:c r="A494" s="12" t="str">
        <x:v>Q5500</x:v>
      </x:c>
      <x:c r="B494" s="12" t="str">
        <x:v>STGB18N40LZT4</x:v>
      </x:c>
      <x:c r="C494" s="12" t="str">
        <x:v>Да</x:v>
      </x:c>
      <x:c r="D494" s="11" t="str">
        <x:v>STGB18N40LZT4</x:v>
      </x:c>
      <x:c r="E494" s="12" t="str">
        <x:v>STMicroelectronics</x:v>
      </x:c>
      <x:c r="F494" s="11" t="str">
        <x:v>TO-263-2</x:v>
      </x:c>
      <x:c r="G494" s="12" t="str">
        <x:v>SURFACE_MOUNT</x:v>
      </x:c>
      <x:c r="H494" s="12" t="str">
        <x:v>REFERENCE_MPN_RETAINED</x:v>
      </x:c>
      <x:c r="I494" s="12" t="str">
        <x:v>Не выпущено</x:v>
      </x:c>
      <x:c r="J494" s="33" t="str"/>
      <x:c r="K494" s="33" t="str">
        <x:v>https://www.st.com/en/search.html#q=STGB18N40LZT4</x:v>
      </x:c>
      <x:c r="L494" s="33" t="str">
        <x:v>Existing schematic MPN retained. Complete circuit rating/temperature and package signoff is still required.</x:v>
      </x:c>
    </x:row>
    <x:row r="495" ht="38" customHeight="1">
      <x:c r="A495" s="2" t="str">
        <x:v>Q5520</x:v>
      </x:c>
      <x:c r="B495" s="2" t="str">
        <x:v>STGB18N40LZT4</x:v>
      </x:c>
      <x:c r="C495" s="2" t="str">
        <x:v>Да</x:v>
      </x:c>
      <x:c r="D495" s="8" t="str">
        <x:v>STGB18N40LZT4</x:v>
      </x:c>
      <x:c r="E495" s="2" t="str">
        <x:v>STMicroelectronics</x:v>
      </x:c>
      <x:c r="F495" s="8" t="str">
        <x:v>TO-263-2</x:v>
      </x:c>
      <x:c r="G495" s="2" t="str">
        <x:v>SURFACE_MOUNT</x:v>
      </x:c>
      <x:c r="H495" s="2" t="str">
        <x:v>REFERENCE_MPN_RETAINED</x:v>
      </x:c>
      <x:c r="I495" s="2" t="str">
        <x:v>Не выпущено</x:v>
      </x:c>
      <x:c r="J495" s="31" t="str"/>
      <x:c r="K495" s="31" t="str">
        <x:v>https://www.st.com/en/search.html#q=STGB18N40LZT4</x:v>
      </x:c>
      <x:c r="L495" s="31" t="str">
        <x:v>Existing schematic MPN retained. Complete circuit rating/temperature and package signoff is still required.</x:v>
      </x:c>
    </x:row>
    <x:row r="496" ht="38" customHeight="1">
      <x:c r="A496" s="12" t="str">
        <x:v>Q5600</x:v>
      </x:c>
      <x:c r="B496" s="12" t="str">
        <x:v>VND7NV04TR-E</x:v>
      </x:c>
      <x:c r="C496" s="12" t="str">
        <x:v>Да</x:v>
      </x:c>
      <x:c r="D496" s="11" t="str">
        <x:v>VND7NV04TR-E</x:v>
      </x:c>
      <x:c r="E496" s="12" t="str">
        <x:v>STMicroelectronics</x:v>
      </x:c>
      <x:c r="F496" s="11" t="str">
        <x:v>TO-252-2</x:v>
      </x:c>
      <x:c r="G496" s="12" t="str">
        <x:v>SURFACE_MOUNT</x:v>
      </x:c>
      <x:c r="H496" s="12" t="str">
        <x:v>REFERENCE_MPN_RETAINED</x:v>
      </x:c>
      <x:c r="I496" s="12" t="str">
        <x:v>Не выпущено</x:v>
      </x:c>
      <x:c r="J496" s="33" t="str"/>
      <x:c r="K496" s="33" t="str">
        <x:v>https://www.st.com/en/search.html#q=VND7NV04TR-E</x:v>
      </x:c>
      <x:c r="L496" s="33" t="str">
        <x:v>Existing schematic MPN retained. Complete circuit rating/temperature and package signoff is still required.</x:v>
      </x:c>
    </x:row>
    <x:row r="497" ht="38" customHeight="1">
      <x:c r="A497" s="2" t="str">
        <x:v>Q5620</x:v>
      </x:c>
      <x:c r="B497" s="2" t="str">
        <x:v>BC847B-QR</x:v>
      </x:c>
      <x:c r="C497" s="2" t="str">
        <x:v>Да</x:v>
      </x:c>
      <x:c r="D497" s="8" t="str">
        <x:v>BC847B-QR</x:v>
      </x:c>
      <x:c r="E497" s="2" t="str">
        <x:v>Nexperia</x:v>
      </x:c>
      <x:c r="F497" s="8" t="str">
        <x:v>SOT-23</x:v>
      </x:c>
      <x:c r="G497" s="2" t="str">
        <x:v>SURFACE_MOUNT</x:v>
      </x:c>
      <x:c r="H497" s="2" t="str">
        <x:v>REFERENCE_MPN_RETAINED</x:v>
      </x:c>
      <x:c r="I497" s="2" t="str">
        <x:v>Не выпущено</x:v>
      </x:c>
      <x:c r="J497" s="31" t="str"/>
      <x:c r="K497" s="31" t="str">
        <x:v>https://www.nexperia.com/product/BC847B-QR</x:v>
      </x:c>
      <x:c r="L497" s="31" t="str">
        <x:v>Existing schematic MPN retained. Complete circuit rating/temperature and package signoff is still required.</x:v>
      </x:c>
    </x:row>
    <x:row r="498" ht="38" customHeight="1">
      <x:c r="A498" s="12" t="str">
        <x:v>Q6200</x:v>
      </x:c>
      <x:c r="B498" s="12" t="str">
        <x:v>IPD90N10S4-06</x:v>
      </x:c>
      <x:c r="C498" s="12" t="str">
        <x:v>Да</x:v>
      </x:c>
      <x:c r="D498" s="11" t="str">
        <x:v>IPD90N10S406ATMA1</x:v>
      </x:c>
      <x:c r="E498" s="12" t="str">
        <x:v>Infineon Technologies</x:v>
      </x:c>
      <x:c r="F498" s="11" t="str">
        <x:v>TO-252-2</x:v>
      </x:c>
      <x:c r="G498" s="12" t="str">
        <x:v>SURFACE_MOUNT</x:v>
      </x:c>
      <x:c r="H498" s="12" t="str">
        <x:v>REFERENCE_MPN_RETAINED</x:v>
      </x:c>
      <x:c r="I498" s="12" t="str">
        <x:v>Не выпущено</x:v>
      </x:c>
      <x:c r="J498" s="33" t="str"/>
      <x:c r="K498" s="33" t="str">
        <x:v>https://www.infineon.com/part/IPD90N10S4-06</x:v>
      </x:c>
      <x:c r="L498" s="33" t="str">
        <x:v>Existing schematic MPN retained. Complete circuit rating/temperature and package signoff is still required.</x:v>
      </x:c>
    </x:row>
    <x:row r="499" ht="38" customHeight="1">
      <x:c r="A499" s="2" t="str">
        <x:v>Q6201</x:v>
      </x:c>
      <x:c r="B499" s="2" t="str">
        <x:v>IPD90N10S4-06</x:v>
      </x:c>
      <x:c r="C499" s="2" t="str">
        <x:v>Да</x:v>
      </x:c>
      <x:c r="D499" s="8" t="str">
        <x:v>IPD90N10S406ATMA1</x:v>
      </x:c>
      <x:c r="E499" s="2" t="str">
        <x:v>Infineon Technologies</x:v>
      </x:c>
      <x:c r="F499" s="8" t="str">
        <x:v>TO-252-2</x:v>
      </x:c>
      <x:c r="G499" s="2" t="str">
        <x:v>SURFACE_MOUNT</x:v>
      </x:c>
      <x:c r="H499" s="2" t="str">
        <x:v>REFERENCE_MPN_RETAINED</x:v>
      </x:c>
      <x:c r="I499" s="2" t="str">
        <x:v>Не выпущено</x:v>
      </x:c>
      <x:c r="J499" s="31" t="str"/>
      <x:c r="K499" s="31" t="str">
        <x:v>https://www.infineon.com/part/IPD90N10S4-06</x:v>
      </x:c>
      <x:c r="L499" s="31" t="str">
        <x:v>Existing schematic MPN retained. Complete circuit rating/temperature and package signoff is still required.</x:v>
      </x:c>
    </x:row>
    <x:row r="500" ht="38" customHeight="1">
      <x:c r="A500" s="12" t="str">
        <x:v>Q6250</x:v>
      </x:c>
      <x:c r="B500" s="12" t="str">
        <x:v>IPD90N10S4-06</x:v>
      </x:c>
      <x:c r="C500" s="12" t="str">
        <x:v>Да</x:v>
      </x:c>
      <x:c r="D500" s="11" t="str">
        <x:v>IPD90N10S406ATMA1</x:v>
      </x:c>
      <x:c r="E500" s="12" t="str">
        <x:v>Infineon Technologies</x:v>
      </x:c>
      <x:c r="F500" s="11" t="str">
        <x:v>TO-252-2</x:v>
      </x:c>
      <x:c r="G500" s="12" t="str">
        <x:v>SURFACE_MOUNT</x:v>
      </x:c>
      <x:c r="H500" s="12" t="str">
        <x:v>REFERENCE_MPN_RETAINED</x:v>
      </x:c>
      <x:c r="I500" s="12" t="str">
        <x:v>Не выпущено</x:v>
      </x:c>
      <x:c r="J500" s="33" t="str"/>
      <x:c r="K500" s="33" t="str">
        <x:v>https://www.infineon.com/part/IPD90N10S4-06</x:v>
      </x:c>
      <x:c r="L500" s="33" t="str">
        <x:v>Existing schematic MPN retained. Complete circuit rating/temperature and package signoff is still required.</x:v>
      </x:c>
    </x:row>
    <x:row r="501" ht="38" customHeight="1">
      <x:c r="A501" s="2" t="str">
        <x:v>Q6251</x:v>
      </x:c>
      <x:c r="B501" s="2" t="str">
        <x:v>IPD90N10S4-06</x:v>
      </x:c>
      <x:c r="C501" s="2" t="str">
        <x:v>Да</x:v>
      </x:c>
      <x:c r="D501" s="8" t="str">
        <x:v>IPD90N10S406ATMA1</x:v>
      </x:c>
      <x:c r="E501" s="2" t="str">
        <x:v>Infineon Technologies</x:v>
      </x:c>
      <x:c r="F501" s="8" t="str">
        <x:v>TO-252-2</x:v>
      </x:c>
      <x:c r="G501" s="2" t="str">
        <x:v>SURFACE_MOUNT</x:v>
      </x:c>
      <x:c r="H501" s="2" t="str">
        <x:v>REFERENCE_MPN_RETAINED</x:v>
      </x:c>
      <x:c r="I501" s="2" t="str">
        <x:v>Не выпущено</x:v>
      </x:c>
      <x:c r="J501" s="31" t="str"/>
      <x:c r="K501" s="31" t="str">
        <x:v>https://www.infineon.com/part/IPD90N10S4-06</x:v>
      </x:c>
      <x:c r="L501" s="31" t="str">
        <x:v>Existing schematic MPN retained. Complete circuit rating/temperature and package signoff is still required.</x:v>
      </x:c>
    </x:row>
    <x:row r="502" ht="38" customHeight="1">
      <x:c r="A502" s="12" t="str">
        <x:v>R101</x:v>
      </x:c>
      <x:c r="B502" s="12" t="str">
        <x:v>0R</x:v>
      </x:c>
      <x:c r="C502" s="12" t="str">
        <x:v>Да</x:v>
      </x:c>
      <x:c r="D502" s="11" t="str">
        <x:v>CRCW06030000Z0EA</x:v>
      </x:c>
      <x:c r="E502" s="12" t="str">
        <x:v>Vishay</x:v>
      </x:c>
      <x:c r="F502" s="11" t="str">
        <x:v>0603</x:v>
      </x:c>
      <x:c r="G502" s="12" t="str">
        <x:v>SURFACE_MOUNT</x:v>
      </x:c>
      <x:c r="H502" s="12" t="str">
        <x:v>SELECTED_FAMILY_CODE</x:v>
      </x:c>
      <x:c r="I502" s="12" t="str">
        <x:v>Не выпущено</x:v>
      </x:c>
      <x:c r="J502" s="33" t="str">
        <x:v>resistance_ohm: 0.0; tolerance_pct: None; tcr_ppm_c: None; power_w: 0.1; working_voltage_v: 75; power_reference_temperature_c: 70; temperature_min_c: -55; temperature_max_c: 155; technology: jumper; aec_q200: True; current_a: 2</x:v>
      </x:c>
      <x:c r="K502" s="33" t="str">
        <x:v>https://www.vishay.com/docs/20035/dcrcwe3.pdf</x:v>
      </x:c>
      <x:c r="L502" s="33" t="str"/>
    </x:row>
    <x:row r="503" ht="38" customHeight="1">
      <x:c r="A503" s="2" t="str">
        <x:v>R102</x:v>
      </x:c>
      <x:c r="B503" s="2" t="str">
        <x:v>10k</x:v>
      </x:c>
      <x:c r="C503" s="2" t="str">
        <x:v>Да</x:v>
      </x:c>
      <x:c r="D503" s="8" t="str">
        <x:v>CRCW060310K0FKEA</x:v>
      </x:c>
      <x:c r="E503" s="2" t="str">
        <x:v>Vishay</x:v>
      </x:c>
      <x:c r="F503" s="8" t="str">
        <x:v>0603</x:v>
      </x:c>
      <x:c r="G503" s="2" t="str">
        <x:v>SURFACE_MOUNT</x:v>
      </x:c>
      <x:c r="H503" s="2" t="str">
        <x:v>SELECTED_FAMILY_CODE</x:v>
      </x:c>
      <x:c r="I503" s="2" t="str">
        <x:v>Не выпущено</x:v>
      </x:c>
      <x:c r="J50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03" s="31" t="str">
        <x:v>https://www.vishay.com/docs/20035/dcrcwe3.pdf</x:v>
      </x:c>
      <x:c r="L503" s="31" t="str"/>
    </x:row>
    <x:row r="504" ht="38" customHeight="1">
      <x:c r="A504" s="12" t="str">
        <x:v>R103</x:v>
      </x:c>
      <x:c r="B504" s="12" t="str">
        <x:v>10k</x:v>
      </x:c>
      <x:c r="C504" s="12" t="str">
        <x:v>Да</x:v>
      </x:c>
      <x:c r="D504" s="11" t="str">
        <x:v>CRCW060310K0FKEA</x:v>
      </x:c>
      <x:c r="E504" s="12" t="str">
        <x:v>Vishay</x:v>
      </x:c>
      <x:c r="F504" s="11" t="str">
        <x:v>0603</x:v>
      </x:c>
      <x:c r="G504" s="12" t="str">
        <x:v>SURFACE_MOUNT</x:v>
      </x:c>
      <x:c r="H504" s="12" t="str">
        <x:v>SELECTED_FAMILY_CODE</x:v>
      </x:c>
      <x:c r="I504" s="12" t="str">
        <x:v>Не выпущено</x:v>
      </x:c>
      <x:c r="J504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04" s="33" t="str">
        <x:v>https://www.vishay.com/docs/20035/dcrcwe3.pdf</x:v>
      </x:c>
      <x:c r="L504" s="33" t="str"/>
    </x:row>
    <x:row r="505" ht="38" customHeight="1">
      <x:c r="A505" s="2" t="str">
        <x:v>R104</x:v>
      </x:c>
      <x:c r="B505" s="2" t="str">
        <x:v>10k</x:v>
      </x:c>
      <x:c r="C505" s="2" t="str">
        <x:v>Да</x:v>
      </x:c>
      <x:c r="D505" s="8" t="str">
        <x:v>CRCW060310K0FKEA</x:v>
      </x:c>
      <x:c r="E505" s="2" t="str">
        <x:v>Vishay</x:v>
      </x:c>
      <x:c r="F505" s="8" t="str">
        <x:v>0603</x:v>
      </x:c>
      <x:c r="G505" s="2" t="str">
        <x:v>SURFACE_MOUNT</x:v>
      </x:c>
      <x:c r="H505" s="2" t="str">
        <x:v>SELECTED_FAMILY_CODE</x:v>
      </x:c>
      <x:c r="I505" s="2" t="str">
        <x:v>Не выпущено</x:v>
      </x:c>
      <x:c r="J50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05" s="31" t="str">
        <x:v>https://www.vishay.com/docs/20035/dcrcwe3.pdf</x:v>
      </x:c>
      <x:c r="L505" s="31" t="str"/>
    </x:row>
    <x:row r="506" ht="38" customHeight="1">
      <x:c r="A506" s="12" t="str">
        <x:v>R105</x:v>
      </x:c>
      <x:c r="B506" s="12" t="str">
        <x:v>0R DNP</x:v>
      </x:c>
      <x:c r="C506" s="12" t="str">
        <x:v>DNP</x:v>
      </x:c>
      <x:c r="D506" s="11" t="str"/>
      <x:c r="E506" s="12" t="str"/>
      <x:c r="F506" s="11" t="str">
        <x:v>Resistor_SMD:R_0603_1608Metric</x:v>
      </x:c>
      <x:c r="G506" s="12" t="str">
        <x:v>SURFACE_MOUNT</x:v>
      </x:c>
      <x:c r="H506" s="12" t="str">
        <x:v>Исключено из закупки</x:v>
      </x:c>
      <x:c r="I506" s="12" t="str">
        <x:v>Нет</x:v>
      </x:c>
      <x:c r="J506" s="33" t="str"/>
      <x:c r="K506" s="33" t="str"/>
      <x:c r="L506" s="33" t="str"/>
    </x:row>
    <x:row r="507" ht="38" customHeight="1">
      <x:c r="A507" s="2" t="str">
        <x:v>R106</x:v>
      </x:c>
      <x:c r="B507" s="2" t="str">
        <x:v>120R DNP</x:v>
      </x:c>
      <x:c r="C507" s="2" t="str">
        <x:v>DNP</x:v>
      </x:c>
      <x:c r="D507" s="8" t="str"/>
      <x:c r="E507" s="2" t="str"/>
      <x:c r="F507" s="8" t="str">
        <x:v>Resistor_SMD:R_0603_1608Metric</x:v>
      </x:c>
      <x:c r="G507" s="2" t="str">
        <x:v>SURFACE_MOUNT</x:v>
      </x:c>
      <x:c r="H507" s="2" t="str">
        <x:v>Исключено из закупки</x:v>
      </x:c>
      <x:c r="I507" s="2" t="str">
        <x:v>Нет</x:v>
      </x:c>
      <x:c r="J507" s="31" t="str"/>
      <x:c r="K507" s="31" t="str"/>
      <x:c r="L507" s="31" t="str"/>
    </x:row>
    <x:row r="508" ht="38" customHeight="1">
      <x:c r="A508" s="12" t="str">
        <x:v>R107</x:v>
      </x:c>
      <x:c r="B508" s="12" t="str">
        <x:v>4.7k</x:v>
      </x:c>
      <x:c r="C508" s="12" t="str">
        <x:v>Да</x:v>
      </x:c>
      <x:c r="D508" s="11" t="str">
        <x:v>CRCW06034K70FKEA</x:v>
      </x:c>
      <x:c r="E508" s="12" t="str">
        <x:v>Vishay</x:v>
      </x:c>
      <x:c r="F508" s="11" t="str">
        <x:v>0603</x:v>
      </x:c>
      <x:c r="G508" s="12" t="str">
        <x:v>SURFACE_MOUNT</x:v>
      </x:c>
      <x:c r="H508" s="12" t="str">
        <x:v>SELECTED_FAMILY_CODE</x:v>
      </x:c>
      <x:c r="I508" s="12" t="str">
        <x:v>Не выпущено</x:v>
      </x:c>
      <x:c r="J508" s="33" t="str">
        <x:v>resistance_ohm: 4700.0;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08" s="33" t="str">
        <x:v>https://www.vishay.com/docs/20035/dcrcwe3.pdf</x:v>
      </x:c>
      <x:c r="L508" s="33" t="str"/>
    </x:row>
    <x:row r="509" ht="38" customHeight="1">
      <x:c r="A509" s="2" t="str">
        <x:v>R108</x:v>
      </x:c>
      <x:c r="B509" s="2" t="str">
        <x:v>10k</x:v>
      </x:c>
      <x:c r="C509" s="2" t="str">
        <x:v>Да</x:v>
      </x:c>
      <x:c r="D509" s="8" t="str">
        <x:v>CRCW060310K0FKEA</x:v>
      </x:c>
      <x:c r="E509" s="2" t="str">
        <x:v>Vishay</x:v>
      </x:c>
      <x:c r="F509" s="8" t="str">
        <x:v>0603</x:v>
      </x:c>
      <x:c r="G509" s="2" t="str">
        <x:v>SURFACE_MOUNT</x:v>
      </x:c>
      <x:c r="H509" s="2" t="str">
        <x:v>SELECTED_FAMILY_CODE</x:v>
      </x:c>
      <x:c r="I509" s="2" t="str">
        <x:v>Не выпущено</x:v>
      </x:c>
      <x:c r="J50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09" s="31" t="str">
        <x:v>https://www.vishay.com/docs/20035/dcrcwe3.pdf</x:v>
      </x:c>
      <x:c r="L509" s="31" t="str"/>
    </x:row>
    <x:row r="510" ht="38" customHeight="1">
      <x:c r="A510" s="12" t="str">
        <x:v>R109</x:v>
      </x:c>
      <x:c r="B510" s="12" t="str">
        <x:v>0R DNP</x:v>
      </x:c>
      <x:c r="C510" s="12" t="str">
        <x:v>DNP</x:v>
      </x:c>
      <x:c r="D510" s="11" t="str"/>
      <x:c r="E510" s="12" t="str"/>
      <x:c r="F510" s="11" t="str">
        <x:v>Resistor_SMD:R_0603_1608Metric</x:v>
      </x:c>
      <x:c r="G510" s="12" t="str">
        <x:v>SURFACE_MOUNT</x:v>
      </x:c>
      <x:c r="H510" s="12" t="str">
        <x:v>Исключено из закупки</x:v>
      </x:c>
      <x:c r="I510" s="12" t="str">
        <x:v>Нет</x:v>
      </x:c>
      <x:c r="J510" s="33" t="str"/>
      <x:c r="K510" s="33" t="str"/>
      <x:c r="L510" s="33" t="str"/>
    </x:row>
    <x:row r="511" ht="38" customHeight="1">
      <x:c r="A511" s="2" t="str">
        <x:v>R110</x:v>
      </x:c>
      <x:c r="B511" s="2" t="str">
        <x:v>10k</x:v>
      </x:c>
      <x:c r="C511" s="2" t="str">
        <x:v>Да</x:v>
      </x:c>
      <x:c r="D511" s="8" t="str">
        <x:v>CRCW060310K0FKEA</x:v>
      </x:c>
      <x:c r="E511" s="2" t="str">
        <x:v>Vishay</x:v>
      </x:c>
      <x:c r="F511" s="8" t="str">
        <x:v>0603</x:v>
      </x:c>
      <x:c r="G511" s="2" t="str">
        <x:v>SURFACE_MOUNT</x:v>
      </x:c>
      <x:c r="H511" s="2" t="str">
        <x:v>SELECTED_FAMILY_CODE</x:v>
      </x:c>
      <x:c r="I511" s="2" t="str">
        <x:v>Не выпущено</x:v>
      </x:c>
      <x:c r="J511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11" s="31" t="str">
        <x:v>https://www.vishay.com/docs/20035/dcrcwe3.pdf</x:v>
      </x:c>
      <x:c r="L511" s="31" t="str"/>
    </x:row>
    <x:row r="512" ht="38" customHeight="1">
      <x:c r="A512" s="12" t="str">
        <x:v>R111</x:v>
      </x:c>
      <x:c r="B512" s="12" t="str">
        <x:v>0R</x:v>
      </x:c>
      <x:c r="C512" s="12" t="str">
        <x:v>Да</x:v>
      </x:c>
      <x:c r="D512" s="11" t="str">
        <x:v>CRCW06030000Z0EA</x:v>
      </x:c>
      <x:c r="E512" s="12" t="str">
        <x:v>Vishay</x:v>
      </x:c>
      <x:c r="F512" s="11" t="str">
        <x:v>0603</x:v>
      </x:c>
      <x:c r="G512" s="12" t="str">
        <x:v>SURFACE_MOUNT</x:v>
      </x:c>
      <x:c r="H512" s="12" t="str">
        <x:v>SELECTED_FAMILY_CODE</x:v>
      </x:c>
      <x:c r="I512" s="12" t="str">
        <x:v>Не выпущено</x:v>
      </x:c>
      <x:c r="J512" s="33" t="str">
        <x:v>resistance_ohm: 0.0; tolerance_pct: None; tcr_ppm_c: None; power_w: 0.1; working_voltage_v: 75; power_reference_temperature_c: 70; temperature_min_c: -55; temperature_max_c: 155; technology: jumper; aec_q200: True; current_a: 2</x:v>
      </x:c>
      <x:c r="K512" s="33" t="str">
        <x:v>https://www.vishay.com/docs/20035/dcrcwe3.pdf</x:v>
      </x:c>
      <x:c r="L512" s="33" t="str"/>
    </x:row>
    <x:row r="513" ht="38" customHeight="1">
      <x:c r="A513" s="2" t="str">
        <x:v>R112</x:v>
      </x:c>
      <x:c r="B513" s="2" t="str">
        <x:v>1k 1% 0.5W</x:v>
      </x:c>
      <x:c r="C513" s="2" t="str">
        <x:v>Да</x:v>
      </x:c>
      <x:c r="D513" s="8" t="str">
        <x:v>CRCW12061K00FKEAHP</x:v>
      </x:c>
      <x:c r="E513" s="2" t="str">
        <x:v>Vishay</x:v>
      </x:c>
      <x:c r="F513" s="8" t="str">
        <x:v>1206</x:v>
      </x:c>
      <x:c r="G513" s="2" t="str">
        <x:v>SURFACE_MOUNT</x:v>
      </x:c>
      <x:c r="H513" s="2" t="str">
        <x:v>SELECTED_CATALOG_ITEM</x:v>
      </x:c>
      <x:c r="I513" s="2" t="str">
        <x:v>Не выпущено</x:v>
      </x:c>
      <x:c r="J513" s="31" t="str">
        <x:v>resistance_ohm: 1000.0; tolerance_pct: 1; tcr_ppm_c: 100; power_w: 0.75; working_voltage_v: 200;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13" s="31" t="str">
        <x:v>https://www.vishay.com/docs/20043/crcwhpe3.pdf; https://www.newark.com/vishay/crcw12061k00fkeahp/surface-mount-thick-film-resistor/dp/41R4820</x:v>
      </x:c>
      <x:c r="L513" s="31" t="str"/>
    </x:row>
    <x:row r="514" ht="38" customHeight="1">
      <x:c r="A514" s="12" t="str">
        <x:v>R201</x:v>
      </x:c>
      <x:c r="B514" s="12" t="str">
        <x:v>10</x:v>
      </x:c>
      <x:c r="C514" s="12" t="str">
        <x:v>Да</x:v>
      </x:c>
      <x:c r="D514" s="11" t="str">
        <x:v>CRCW060310R0FKEA</x:v>
      </x:c>
      <x:c r="E514" s="12" t="str">
        <x:v>Vishay</x:v>
      </x:c>
      <x:c r="F514" s="11" t="str">
        <x:v>0603</x:v>
      </x:c>
      <x:c r="G514" s="12" t="str">
        <x:v>SURFACE_MOUNT</x:v>
      </x:c>
      <x:c r="H514" s="12" t="str">
        <x:v>SELECTED_FAMILY_CODE</x:v>
      </x:c>
      <x:c r="I514" s="12" t="str">
        <x:v>Не выпущено</x:v>
      </x:c>
      <x:c r="J514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14" s="33" t="str">
        <x:v>https://www.vishay.com/docs/20035/dcrcwe3.pdf</x:v>
      </x:c>
      <x:c r="L514" s="33" t="str"/>
    </x:row>
    <x:row r="515" ht="38" customHeight="1">
      <x:c r="A515" s="2" t="str">
        <x:v>R202</x:v>
      </x:c>
      <x:c r="B515" s="2" t="str">
        <x:v>10</x:v>
      </x:c>
      <x:c r="C515" s="2" t="str">
        <x:v>Да</x:v>
      </x:c>
      <x:c r="D515" s="8" t="str">
        <x:v>CRCW060310R0FKEA</x:v>
      </x:c>
      <x:c r="E515" s="2" t="str">
        <x:v>Vishay</x:v>
      </x:c>
      <x:c r="F515" s="8" t="str">
        <x:v>0603</x:v>
      </x:c>
      <x:c r="G515" s="2" t="str">
        <x:v>SURFACE_MOUNT</x:v>
      </x:c>
      <x:c r="H515" s="2" t="str">
        <x:v>SELECTED_FAMILY_CODE</x:v>
      </x:c>
      <x:c r="I515" s="2" t="str">
        <x:v>Не выпущено</x:v>
      </x:c>
      <x:c r="J515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15" s="31" t="str">
        <x:v>https://www.vishay.com/docs/20035/dcrcwe3.pdf</x:v>
      </x:c>
      <x:c r="L515" s="31" t="str"/>
    </x:row>
    <x:row r="516" ht="38" customHeight="1">
      <x:c r="A516" s="12" t="str">
        <x:v>R203</x:v>
      </x:c>
      <x:c r="B516" s="12" t="str">
        <x:v>0.01</x:v>
      </x:c>
      <x:c r="C516" s="12" t="str">
        <x:v>Да</x:v>
      </x:c>
      <x:c r="D516" s="11" t="str">
        <x:v>WSLP1206R0100FEA</x:v>
      </x:c>
      <x:c r="E516" s="12" t="str">
        <x:v>Vishay</x:v>
      </x:c>
      <x:c r="F516" s="11" t="str">
        <x:v>1206</x:v>
      </x:c>
      <x:c r="G516" s="12" t="str">
        <x:v>SURFACE_MOUNT</x:v>
      </x:c>
      <x:c r="H516" s="12" t="str">
        <x:v>SELECTED_CONDITIONAL</x:v>
      </x:c>
      <x:c r="I516" s="12" t="str">
        <x:v>Не выпущено</x:v>
      </x:c>
      <x:c r="J516" s="33" t="str">
        <x:v>resistance_ohm: 0.01; tolerance_pct: 1; tcr_ppm_c: 75; power_w: 1; power_reference_temperature_c: 70; temperature_min_c: -65; temperature_max_c: 170; technology: metal strip; terminals: 2; pcb_sense_pads: 4; pulse_rating: Use manufacturer pulse-duration curve; repetitive B58 current/energy not qualified; derating: Use manufacturer power versus ambient/terminal temperature curve; PCB thermal and fault pulse envelope not qualified.</x:v>
      </x:c>
      <x:c r="K516" s="33" t="str">
        <x:v>https://www.vishay.com/docs/30122/wslp.pdf; https://www.digikey.com/en/product-highlight/v/vishay-dale/wslp1206-very-high-power-1-w-surface-mount-power-metal-strip-resistor</x:v>
      </x:c>
      <x:c r="L516" s="33" t="str">
        <x:v>Original C309628 thick-film1500ppm/K rejected for precision current sensing; proposed metal strip needs repetitive pulse, hot derating and Kelvin pad review.</x:v>
      </x:c>
    </x:row>
    <x:row r="517" ht="38" customHeight="1">
      <x:c r="A517" s="2" t="str">
        <x:v>R204</x:v>
      </x:c>
      <x:c r="B517" s="2" t="str">
        <x:v>10</x:v>
      </x:c>
      <x:c r="C517" s="2" t="str">
        <x:v>Да</x:v>
      </x:c>
      <x:c r="D517" s="8" t="str">
        <x:v>CRCW060310R0FKEA</x:v>
      </x:c>
      <x:c r="E517" s="2" t="str">
        <x:v>Vishay</x:v>
      </x:c>
      <x:c r="F517" s="8" t="str">
        <x:v>0603</x:v>
      </x:c>
      <x:c r="G517" s="2" t="str">
        <x:v>SURFACE_MOUNT</x:v>
      </x:c>
      <x:c r="H517" s="2" t="str">
        <x:v>SELECTED_FAMILY_CODE</x:v>
      </x:c>
      <x:c r="I517" s="2" t="str">
        <x:v>Не выпущено</x:v>
      </x:c>
      <x:c r="J517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17" s="31" t="str">
        <x:v>https://www.vishay.com/docs/20035/dcrcwe3.pdf</x:v>
      </x:c>
      <x:c r="L517" s="31" t="str"/>
    </x:row>
    <x:row r="518" ht="38" customHeight="1">
      <x:c r="A518" s="12" t="str">
        <x:v>R205</x:v>
      </x:c>
      <x:c r="B518" s="12" t="str">
        <x:v>10</x:v>
      </x:c>
      <x:c r="C518" s="12" t="str">
        <x:v>Да</x:v>
      </x:c>
      <x:c r="D518" s="11" t="str">
        <x:v>CRCW060310R0FKEA</x:v>
      </x:c>
      <x:c r="E518" s="12" t="str">
        <x:v>Vishay</x:v>
      </x:c>
      <x:c r="F518" s="11" t="str">
        <x:v>0603</x:v>
      </x:c>
      <x:c r="G518" s="12" t="str">
        <x:v>SURFACE_MOUNT</x:v>
      </x:c>
      <x:c r="H518" s="12" t="str">
        <x:v>SELECTED_FAMILY_CODE</x:v>
      </x:c>
      <x:c r="I518" s="12" t="str">
        <x:v>Не выпущено</x:v>
      </x:c>
      <x:c r="J518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18" s="33" t="str">
        <x:v>https://www.vishay.com/docs/20035/dcrcwe3.pdf</x:v>
      </x:c>
      <x:c r="L518" s="33" t="str"/>
    </x:row>
    <x:row r="519" ht="38" customHeight="1">
      <x:c r="A519" s="2" t="str">
        <x:v>R206</x:v>
      </x:c>
      <x:c r="B519" s="2" t="str">
        <x:v>10</x:v>
      </x:c>
      <x:c r="C519" s="2" t="str">
        <x:v>Да</x:v>
      </x:c>
      <x:c r="D519" s="8" t="str">
        <x:v>CRCW060310R0FKEA</x:v>
      </x:c>
      <x:c r="E519" s="2" t="str">
        <x:v>Vishay</x:v>
      </x:c>
      <x:c r="F519" s="8" t="str">
        <x:v>0603</x:v>
      </x:c>
      <x:c r="G519" s="2" t="str">
        <x:v>SURFACE_MOUNT</x:v>
      </x:c>
      <x:c r="H519" s="2" t="str">
        <x:v>SELECTED_FAMILY_CODE</x:v>
      </x:c>
      <x:c r="I519" s="2" t="str">
        <x:v>Не выпущено</x:v>
      </x:c>
      <x:c r="J519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19" s="31" t="str">
        <x:v>https://www.vishay.com/docs/20035/dcrcwe3.pdf</x:v>
      </x:c>
      <x:c r="L519" s="31" t="str"/>
    </x:row>
    <x:row r="520" ht="38" customHeight="1">
      <x:c r="A520" s="12" t="str">
        <x:v>R207</x:v>
      </x:c>
      <x:c r="B520" s="12" t="str">
        <x:v>10</x:v>
      </x:c>
      <x:c r="C520" s="12" t="str">
        <x:v>Да</x:v>
      </x:c>
      <x:c r="D520" s="11" t="str">
        <x:v>CRCW060310R0FKEA</x:v>
      </x:c>
      <x:c r="E520" s="12" t="str">
        <x:v>Vishay</x:v>
      </x:c>
      <x:c r="F520" s="11" t="str">
        <x:v>0603</x:v>
      </x:c>
      <x:c r="G520" s="12" t="str">
        <x:v>SURFACE_MOUNT</x:v>
      </x:c>
      <x:c r="H520" s="12" t="str">
        <x:v>SELECTED_FAMILY_CODE</x:v>
      </x:c>
      <x:c r="I520" s="12" t="str">
        <x:v>Не выпущено</x:v>
      </x:c>
      <x:c r="J520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20" s="33" t="str">
        <x:v>https://www.vishay.com/docs/20035/dcrcwe3.pdf</x:v>
      </x:c>
      <x:c r="L520" s="33" t="str"/>
    </x:row>
    <x:row r="521" ht="38" customHeight="1">
      <x:c r="A521" s="2" t="str">
        <x:v>R208</x:v>
      </x:c>
      <x:c r="B521" s="2" t="str">
        <x:v>10</x:v>
      </x:c>
      <x:c r="C521" s="2" t="str">
        <x:v>Да</x:v>
      </x:c>
      <x:c r="D521" s="8" t="str">
        <x:v>CRCW060310R0FKEA</x:v>
      </x:c>
      <x:c r="E521" s="2" t="str">
        <x:v>Vishay</x:v>
      </x:c>
      <x:c r="F521" s="8" t="str">
        <x:v>0603</x:v>
      </x:c>
      <x:c r="G521" s="2" t="str">
        <x:v>SURFACE_MOUNT</x:v>
      </x:c>
      <x:c r="H521" s="2" t="str">
        <x:v>SELECTED_FAMILY_CODE</x:v>
      </x:c>
      <x:c r="I521" s="2" t="str">
        <x:v>Не выпущено</x:v>
      </x:c>
      <x:c r="J521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21" s="31" t="str">
        <x:v>https://www.vishay.com/docs/20035/dcrcwe3.pdf</x:v>
      </x:c>
      <x:c r="L521" s="31" t="str"/>
    </x:row>
    <x:row r="522" ht="38" customHeight="1">
      <x:c r="A522" s="12" t="str">
        <x:v>R210</x:v>
      </x:c>
      <x:c r="B522" s="12" t="str">
        <x:v>10</x:v>
      </x:c>
      <x:c r="C522" s="12" t="str">
        <x:v>Да</x:v>
      </x:c>
      <x:c r="D522" s="11" t="str">
        <x:v>CRCW060310R0FKEA</x:v>
      </x:c>
      <x:c r="E522" s="12" t="str">
        <x:v>Vishay</x:v>
      </x:c>
      <x:c r="F522" s="11" t="str">
        <x:v>0603</x:v>
      </x:c>
      <x:c r="G522" s="12" t="str">
        <x:v>SURFACE_MOUNT</x:v>
      </x:c>
      <x:c r="H522" s="12" t="str">
        <x:v>SELECTED_FAMILY_CODE</x:v>
      </x:c>
      <x:c r="I522" s="12" t="str">
        <x:v>Не выпущено</x:v>
      </x:c>
      <x:c r="J522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22" s="33" t="str">
        <x:v>https://www.vishay.com/docs/20035/dcrcwe3.pdf</x:v>
      </x:c>
      <x:c r="L522" s="33" t="str"/>
    </x:row>
    <x:row r="523" ht="38" customHeight="1">
      <x:c r="A523" s="2" t="str">
        <x:v>R211</x:v>
      </x:c>
      <x:c r="B523" s="2" t="str">
        <x:v>10</x:v>
      </x:c>
      <x:c r="C523" s="2" t="str">
        <x:v>Да</x:v>
      </x:c>
      <x:c r="D523" s="8" t="str">
        <x:v>CRCW060310R0FKEA</x:v>
      </x:c>
      <x:c r="E523" s="2" t="str">
        <x:v>Vishay</x:v>
      </x:c>
      <x:c r="F523" s="8" t="str">
        <x:v>0603</x:v>
      </x:c>
      <x:c r="G523" s="2" t="str">
        <x:v>SURFACE_MOUNT</x:v>
      </x:c>
      <x:c r="H523" s="2" t="str">
        <x:v>SELECTED_FAMILY_CODE</x:v>
      </x:c>
      <x:c r="I523" s="2" t="str">
        <x:v>Не выпущено</x:v>
      </x:c>
      <x:c r="J523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23" s="31" t="str">
        <x:v>https://www.vishay.com/docs/20035/dcrcwe3.pdf</x:v>
      </x:c>
      <x:c r="L523" s="31" t="str"/>
    </x:row>
    <x:row r="524" ht="38" customHeight="1">
      <x:c r="A524" s="12" t="str">
        <x:v>R212</x:v>
      </x:c>
      <x:c r="B524" s="12" t="str">
        <x:v>0.01</x:v>
      </x:c>
      <x:c r="C524" s="12" t="str">
        <x:v>Да</x:v>
      </x:c>
      <x:c r="D524" s="11" t="str">
        <x:v>WSLP1206R0100FEA</x:v>
      </x:c>
      <x:c r="E524" s="12" t="str">
        <x:v>Vishay</x:v>
      </x:c>
      <x:c r="F524" s="11" t="str">
        <x:v>1206</x:v>
      </x:c>
      <x:c r="G524" s="12" t="str">
        <x:v>SURFACE_MOUNT</x:v>
      </x:c>
      <x:c r="H524" s="12" t="str">
        <x:v>SELECTED_CONDITIONAL</x:v>
      </x:c>
      <x:c r="I524" s="12" t="str">
        <x:v>Не выпущено</x:v>
      </x:c>
      <x:c r="J524" s="33" t="str">
        <x:v>resistance_ohm: 0.01; tolerance_pct: 1; tcr_ppm_c: 75; power_w: 1; power_reference_temperature_c: 70; temperature_min_c: -65; temperature_max_c: 170; technology: metal strip; terminals: 2; pcb_sense_pads: 4; pulse_rating: Use manufacturer pulse-duration curve; repetitive B58 current/energy not qualified; derating: Use manufacturer power versus ambient/terminal temperature curve; PCB thermal and fault pulse envelope not qualified.</x:v>
      </x:c>
      <x:c r="K524" s="33" t="str">
        <x:v>https://www.vishay.com/docs/30122/wslp.pdf; https://www.digikey.com/en/product-highlight/v/vishay-dale/wslp1206-very-high-power-1-w-surface-mount-power-metal-strip-resistor</x:v>
      </x:c>
      <x:c r="L524" s="33" t="str">
        <x:v>Original C309628 thick-film1500ppm/K rejected for precision current sensing; proposed metal strip needs repetitive pulse, hot derating and Kelvin pad review.</x:v>
      </x:c>
    </x:row>
    <x:row r="525" ht="38" customHeight="1">
      <x:c r="A525" s="2" t="str">
        <x:v>R213</x:v>
      </x:c>
      <x:c r="B525" s="2" t="str">
        <x:v>0.01</x:v>
      </x:c>
      <x:c r="C525" s="2" t="str">
        <x:v>Да</x:v>
      </x:c>
      <x:c r="D525" s="8" t="str">
        <x:v>WSLP1206R0100FEA</x:v>
      </x:c>
      <x:c r="E525" s="2" t="str">
        <x:v>Vishay</x:v>
      </x:c>
      <x:c r="F525" s="8" t="str">
        <x:v>1206</x:v>
      </x:c>
      <x:c r="G525" s="2" t="str">
        <x:v>SURFACE_MOUNT</x:v>
      </x:c>
      <x:c r="H525" s="2" t="str">
        <x:v>SELECTED_CONDITIONAL</x:v>
      </x:c>
      <x:c r="I525" s="2" t="str">
        <x:v>Не выпущено</x:v>
      </x:c>
      <x:c r="J525" s="31" t="str">
        <x:v>resistance_ohm: 0.01; tolerance_pct: 1; tcr_ppm_c: 75; power_w: 1; power_reference_temperature_c: 70; temperature_min_c: -65; temperature_max_c: 170; technology: metal strip; terminals: 2; pcb_sense_pads: 4; pulse_rating: Use manufacturer pulse-duration curve; repetitive B58 current/energy not qualified; derating: Use manufacturer power versus ambient/terminal temperature curve; PCB thermal and fault pulse envelope not qualified.</x:v>
      </x:c>
      <x:c r="K525" s="31" t="str">
        <x:v>https://www.vishay.com/docs/30122/wslp.pdf; https://www.digikey.com/en/product-highlight/v/vishay-dale/wslp1206-very-high-power-1-w-surface-mount-power-metal-strip-resistor</x:v>
      </x:c>
      <x:c r="L525" s="31" t="str">
        <x:v>Original C309628 thick-film1500ppm/K rejected for precision current sensing; proposed metal strip needs repetitive pulse, hot derating and Kelvin pad review.</x:v>
      </x:c>
    </x:row>
    <x:row r="526" ht="38" customHeight="1">
      <x:c r="A526" s="12" t="str">
        <x:v>R214</x:v>
      </x:c>
      <x:c r="B526" s="12" t="str">
        <x:v>10</x:v>
      </x:c>
      <x:c r="C526" s="12" t="str">
        <x:v>Да</x:v>
      </x:c>
      <x:c r="D526" s="11" t="str">
        <x:v>CRCW060310R0FKEA</x:v>
      </x:c>
      <x:c r="E526" s="12" t="str">
        <x:v>Vishay</x:v>
      </x:c>
      <x:c r="F526" s="11" t="str">
        <x:v>0603</x:v>
      </x:c>
      <x:c r="G526" s="12" t="str">
        <x:v>SURFACE_MOUNT</x:v>
      </x:c>
      <x:c r="H526" s="12" t="str">
        <x:v>SELECTED_FAMILY_CODE</x:v>
      </x:c>
      <x:c r="I526" s="12" t="str">
        <x:v>Не выпущено</x:v>
      </x:c>
      <x:c r="J526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26" s="33" t="str">
        <x:v>https://www.vishay.com/docs/20035/dcrcwe3.pdf</x:v>
      </x:c>
      <x:c r="L526" s="33" t="str"/>
    </x:row>
    <x:row r="527" ht="38" customHeight="1">
      <x:c r="A527" s="2" t="str">
        <x:v>R215</x:v>
      </x:c>
      <x:c r="B527" s="2" t="str">
        <x:v>0.01</x:v>
      </x:c>
      <x:c r="C527" s="2" t="str">
        <x:v>Да</x:v>
      </x:c>
      <x:c r="D527" s="8" t="str">
        <x:v>WSLP1206R0100FEA</x:v>
      </x:c>
      <x:c r="E527" s="2" t="str">
        <x:v>Vishay</x:v>
      </x:c>
      <x:c r="F527" s="8" t="str">
        <x:v>1206</x:v>
      </x:c>
      <x:c r="G527" s="2" t="str">
        <x:v>SURFACE_MOUNT</x:v>
      </x:c>
      <x:c r="H527" s="2" t="str">
        <x:v>SELECTED_CONDITIONAL</x:v>
      </x:c>
      <x:c r="I527" s="2" t="str">
        <x:v>Не выпущено</x:v>
      </x:c>
      <x:c r="J527" s="31" t="str">
        <x:v>resistance_ohm: 0.01; tolerance_pct: 1; tcr_ppm_c: 75; power_w: 1; power_reference_temperature_c: 70; temperature_min_c: -65; temperature_max_c: 170; technology: metal strip; terminals: 2; pcb_sense_pads: 4; pulse_rating: Use manufacturer pulse-duration curve; repetitive B58 current/energy not qualified; derating: Use manufacturer power versus ambient/terminal temperature curve; PCB thermal and fault pulse envelope not qualified.</x:v>
      </x:c>
      <x:c r="K527" s="31" t="str">
        <x:v>https://www.vishay.com/docs/30122/wslp.pdf; https://www.digikey.com/en/product-highlight/v/vishay-dale/wslp1206-very-high-power-1-w-surface-mount-power-metal-strip-resistor</x:v>
      </x:c>
      <x:c r="L527" s="31" t="str">
        <x:v>Original C309628 thick-film1500ppm/K rejected for precision current sensing; proposed metal strip needs repetitive pulse, hot derating and Kelvin pad review.</x:v>
      </x:c>
    </x:row>
    <x:row r="528" ht="38" customHeight="1">
      <x:c r="A528" s="12" t="str">
        <x:v>R216</x:v>
      </x:c>
      <x:c r="B528" s="12" t="str">
        <x:v>Jumper-Pad-Pad</x:v>
      </x:c>
      <x:c r="C528" s="12" t="str">
        <x:v>Да</x:v>
      </x:c>
      <x:c r="D528" s="11" t="str">
        <x:v>CRCW08050000Z0EA</x:v>
      </x:c>
      <x:c r="E528" s="12" t="str">
        <x:v>Vishay</x:v>
      </x:c>
      <x:c r="F528" s="11" t="str">
        <x:v>0805</x:v>
      </x:c>
      <x:c r="G528" s="12" t="str">
        <x:v>SURFACE_MOUNT</x:v>
      </x:c>
      <x:c r="H528" s="12" t="str">
        <x:v>SELECTED_FAMILY_CODE</x:v>
      </x:c>
      <x:c r="I528" s="12" t="str">
        <x:v>Не выпущено</x:v>
      </x:c>
      <x:c r="J528" s="33" t="str">
        <x:v>resistance_ohm: 0; tolerance_pct: None; tcr_ppm_c: None; power_w: 0.125; working_voltage_v: 150; power_reference_temperature_c: 70; temperature_min_c: -55; temperature_max_c: 155; technology: jumper; aec_q200: True; current_a: 2.5</x:v>
      </x:c>
      <x:c r="K528" s="33" t="str">
        <x:v>https://www.vishay.com/docs/20035/dcrcwe3.pdf</x:v>
      </x:c>
      <x:c r="L528" s="33" t="str"/>
    </x:row>
    <x:row r="529" ht="38" customHeight="1">
      <x:c r="A529" s="2" t="str">
        <x:v>R217</x:v>
      </x:c>
      <x:c r="B529" s="2" t="str">
        <x:v>220</x:v>
      </x:c>
      <x:c r="C529" s="2" t="str">
        <x:v>Да</x:v>
      </x:c>
      <x:c r="D529" s="8" t="str">
        <x:v>CRCW0603220RFKEA</x:v>
      </x:c>
      <x:c r="E529" s="2" t="str">
        <x:v>Vishay</x:v>
      </x:c>
      <x:c r="F529" s="8" t="str">
        <x:v>0603</x:v>
      </x:c>
      <x:c r="G529" s="2" t="str">
        <x:v>SURFACE_MOUNT</x:v>
      </x:c>
      <x:c r="H529" s="2" t="str">
        <x:v>SELECTED_FAMILY_CODE</x:v>
      </x:c>
      <x:c r="I529" s="2" t="str">
        <x:v>Не выпущено</x:v>
      </x:c>
      <x:c r="J529" s="31" t="str">
        <x:v>resistance_ohm: 220.0;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29" s="31" t="str">
        <x:v>https://www.vishay.com/docs/20035/dcrcwe3.pdf</x:v>
      </x:c>
      <x:c r="L529" s="31" t="str"/>
    </x:row>
    <x:row r="530" ht="38" customHeight="1">
      <x:c r="A530" s="12" t="str">
        <x:v>R218</x:v>
      </x:c>
      <x:c r="B530" s="12" t="str">
        <x:v>DNP</x:v>
      </x:c>
      <x:c r="C530" s="12" t="str">
        <x:v>DNP</x:v>
      </x:c>
      <x:c r="D530" s="11" t="str"/>
      <x:c r="E530" s="12" t="str"/>
      <x:c r="F530" s="11" t="str">
        <x:v>Power8GDI_GDI:REF_R41</x:v>
      </x:c>
      <x:c r="G530" s="12" t="str">
        <x:v>SURFACE_MOUNT</x:v>
      </x:c>
      <x:c r="H530" s="12" t="str">
        <x:v>Исключено из закупки</x:v>
      </x:c>
      <x:c r="I530" s="12" t="str">
        <x:v>Нет</x:v>
      </x:c>
      <x:c r="J530" s="33" t="str"/>
      <x:c r="K530" s="33" t="str"/>
      <x:c r="L530" s="33" t="str"/>
    </x:row>
    <x:row r="531" ht="38" customHeight="1">
      <x:c r="A531" s="2" t="str">
        <x:v>R219</x:v>
      </x:c>
      <x:c r="B531" s="2" t="str">
        <x:v>5.1</x:v>
      </x:c>
      <x:c r="C531" s="2" t="str">
        <x:v>Да</x:v>
      </x:c>
      <x:c r="D531" s="8" t="str">
        <x:v>CRCW06035R10FKEA</x:v>
      </x:c>
      <x:c r="E531" s="2" t="str">
        <x:v>Vishay</x:v>
      </x:c>
      <x:c r="F531" s="8" t="str">
        <x:v>0603</x:v>
      </x:c>
      <x:c r="G531" s="2" t="str">
        <x:v>SURFACE_MOUNT</x:v>
      </x:c>
      <x:c r="H531" s="2" t="str">
        <x:v>SELECTED_FAMILY_CODE</x:v>
      </x:c>
      <x:c r="I531" s="2" t="str">
        <x:v>Не выпущено</x:v>
      </x:c>
      <x:c r="J531" s="31" t="str">
        <x:v>resistance_ohm: 5.1;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31" s="31" t="str">
        <x:v>https://www.vishay.com/docs/20035/dcrcwe3.pdf</x:v>
      </x:c>
      <x:c r="L531" s="31" t="str"/>
    </x:row>
    <x:row r="532" ht="38" customHeight="1">
      <x:c r="A532" s="12" t="str">
        <x:v>R220</x:v>
      </x:c>
      <x:c r="B532" s="12" t="str">
        <x:v>75K</x:v>
      </x:c>
      <x:c r="C532" s="12" t="str">
        <x:v>Да</x:v>
      </x:c>
      <x:c r="D532" s="11" t="str">
        <x:v>CRCW060375K0FKEA</x:v>
      </x:c>
      <x:c r="E532" s="12" t="str">
        <x:v>Vishay</x:v>
      </x:c>
      <x:c r="F532" s="11" t="str">
        <x:v>0603</x:v>
      </x:c>
      <x:c r="G532" s="12" t="str">
        <x:v>SURFACE_MOUNT</x:v>
      </x:c>
      <x:c r="H532" s="12" t="str">
        <x:v>SELECTED_FAMILY_CODE</x:v>
      </x:c>
      <x:c r="I532" s="12" t="str">
        <x:v>Не выпущено</x:v>
      </x:c>
      <x:c r="J532" s="33" t="str">
        <x:v>resistance_ohm: 75000.0;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32" s="33" t="str">
        <x:v>https://www.vishay.com/docs/20035/dcrcwe3.pdf</x:v>
      </x:c>
      <x:c r="L532" s="33" t="str"/>
    </x:row>
    <x:row r="533" ht="38" customHeight="1">
      <x:c r="A533" s="2" t="str">
        <x:v>R221</x:v>
      </x:c>
      <x:c r="B533" s="2" t="str">
        <x:v>0.01</x:v>
      </x:c>
      <x:c r="C533" s="2" t="str">
        <x:v>Да</x:v>
      </x:c>
      <x:c r="D533" s="8" t="str">
        <x:v>WSLP1206R0100FEA</x:v>
      </x:c>
      <x:c r="E533" s="2" t="str">
        <x:v>Vishay</x:v>
      </x:c>
      <x:c r="F533" s="8" t="str">
        <x:v>1206</x:v>
      </x:c>
      <x:c r="G533" s="2" t="str">
        <x:v>SURFACE_MOUNT</x:v>
      </x:c>
      <x:c r="H533" s="2" t="str">
        <x:v>SELECTED_CONDITIONAL</x:v>
      </x:c>
      <x:c r="I533" s="2" t="str">
        <x:v>Не выпущено</x:v>
      </x:c>
      <x:c r="J533" s="31" t="str">
        <x:v>resistance_ohm: 0.01; tolerance_pct: 1; tcr_ppm_c: 75; power_w: 1; power_reference_temperature_c: 70; temperature_min_c: -65; temperature_max_c: 170; technology: metal strip; terminals: 2; pcb_sense_pads: 4; pulse_rating: Use manufacturer pulse-duration curve; repetitive B58 current/energy not qualified; derating: Use manufacturer power versus ambient/terminal temperature curve; PCB thermal and fault pulse envelope not qualified.</x:v>
      </x:c>
      <x:c r="K533" s="31" t="str">
        <x:v>https://www.vishay.com/docs/30122/wslp.pdf; https://www.digikey.com/en/product-highlight/v/vishay-dale/wslp1206-very-high-power-1-w-surface-mount-power-metal-strip-resistor</x:v>
      </x:c>
      <x:c r="L533" s="31" t="str">
        <x:v>Original C309628 thick-film1500ppm/K rejected for precision current sensing; proposed metal strip needs repetitive pulse, hot derating and Kelvin pad review.</x:v>
      </x:c>
    </x:row>
    <x:row r="534" ht="38" customHeight="1">
      <x:c r="A534" s="12" t="str">
        <x:v>R222</x:v>
      </x:c>
      <x:c r="B534" s="12" t="str">
        <x:v>DNP</x:v>
      </x:c>
      <x:c r="C534" s="12" t="str">
        <x:v>DNP</x:v>
      </x:c>
      <x:c r="D534" s="11" t="str"/>
      <x:c r="E534" s="12" t="str"/>
      <x:c r="F534" s="11" t="str">
        <x:v>Power8GDI_GDI:REF_R80</x:v>
      </x:c>
      <x:c r="G534" s="12" t="str">
        <x:v>SURFACE_MOUNT</x:v>
      </x:c>
      <x:c r="H534" s="12" t="str">
        <x:v>Исключено из закупки</x:v>
      </x:c>
      <x:c r="I534" s="12" t="str">
        <x:v>Нет</x:v>
      </x:c>
      <x:c r="J534" s="33" t="str"/>
      <x:c r="K534" s="33" t="str"/>
      <x:c r="L534" s="33" t="str"/>
    </x:row>
    <x:row r="535" ht="38" customHeight="1">
      <x:c r="A535" s="2" t="str">
        <x:v>R223</x:v>
      </x:c>
      <x:c r="B535" s="2" t="str">
        <x:v>DNP</x:v>
      </x:c>
      <x:c r="C535" s="2" t="str">
        <x:v>DNP</x:v>
      </x:c>
      <x:c r="D535" s="8" t="str"/>
      <x:c r="E535" s="2" t="str"/>
      <x:c r="F535" s="8" t="str">
        <x:v>Power8GDI_GDI:REF_R81</x:v>
      </x:c>
      <x:c r="G535" s="2" t="str">
        <x:v>SURFACE_MOUNT</x:v>
      </x:c>
      <x:c r="H535" s="2" t="str">
        <x:v>Исключено из закупки</x:v>
      </x:c>
      <x:c r="I535" s="2" t="str">
        <x:v>Нет</x:v>
      </x:c>
      <x:c r="J535" s="31" t="str"/>
      <x:c r="K535" s="31" t="str"/>
      <x:c r="L535" s="31" t="str"/>
    </x:row>
    <x:row r="536" ht="38" customHeight="1">
      <x:c r="A536" s="12" t="str">
        <x:v>R224</x:v>
      </x:c>
      <x:c r="B536" s="12" t="str">
        <x:v>DNP</x:v>
      </x:c>
      <x:c r="C536" s="12" t="str">
        <x:v>DNP</x:v>
      </x:c>
      <x:c r="D536" s="11" t="str"/>
      <x:c r="E536" s="12" t="str"/>
      <x:c r="F536" s="11" t="str">
        <x:v>Power8GDI_GDI:REF_R82</x:v>
      </x:c>
      <x:c r="G536" s="12" t="str">
        <x:v>SURFACE_MOUNT</x:v>
      </x:c>
      <x:c r="H536" s="12" t="str">
        <x:v>Исключено из закупки</x:v>
      </x:c>
      <x:c r="I536" s="12" t="str">
        <x:v>Нет</x:v>
      </x:c>
      <x:c r="J536" s="33" t="str"/>
      <x:c r="K536" s="33" t="str"/>
      <x:c r="L536" s="33" t="str"/>
    </x:row>
    <x:row r="537" ht="38" customHeight="1">
      <x:c r="A537" s="2" t="str">
        <x:v>R225</x:v>
      </x:c>
      <x:c r="B537" s="2" t="str">
        <x:v>DNP</x:v>
      </x:c>
      <x:c r="C537" s="2" t="str">
        <x:v>DNP</x:v>
      </x:c>
      <x:c r="D537" s="8" t="str"/>
      <x:c r="E537" s="2" t="str"/>
      <x:c r="F537" s="8" t="str">
        <x:v>Power8GDI_GDI:REF_R83</x:v>
      </x:c>
      <x:c r="G537" s="2" t="str">
        <x:v>SURFACE_MOUNT</x:v>
      </x:c>
      <x:c r="H537" s="2" t="str">
        <x:v>Исключено из закупки</x:v>
      </x:c>
      <x:c r="I537" s="2" t="str">
        <x:v>Нет</x:v>
      </x:c>
      <x:c r="J537" s="31" t="str"/>
      <x:c r="K537" s="31" t="str"/>
      <x:c r="L537" s="31" t="str"/>
    </x:row>
    <x:row r="538" ht="38" customHeight="1">
      <x:c r="A538" s="12" t="str">
        <x:v>R226</x:v>
      </x:c>
      <x:c r="B538" s="12" t="str">
        <x:v>10</x:v>
      </x:c>
      <x:c r="C538" s="12" t="str">
        <x:v>Да</x:v>
      </x:c>
      <x:c r="D538" s="11" t="str">
        <x:v>CRCW060310R0FKEA</x:v>
      </x:c>
      <x:c r="E538" s="12" t="str">
        <x:v>Vishay</x:v>
      </x:c>
      <x:c r="F538" s="11" t="str">
        <x:v>0603</x:v>
      </x:c>
      <x:c r="G538" s="12" t="str">
        <x:v>SURFACE_MOUNT</x:v>
      </x:c>
      <x:c r="H538" s="12" t="str">
        <x:v>SELECTED_FAMILY_CODE</x:v>
      </x:c>
      <x:c r="I538" s="12" t="str">
        <x:v>Не выпущено</x:v>
      </x:c>
      <x:c r="J538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38" s="33" t="str">
        <x:v>https://www.vishay.com/docs/20035/dcrcwe3.pdf</x:v>
      </x:c>
      <x:c r="L538" s="33" t="str"/>
    </x:row>
    <x:row r="539" ht="38" customHeight="1">
      <x:c r="A539" s="2" t="str">
        <x:v>R227</x:v>
      </x:c>
      <x:c r="B539" s="2" t="str">
        <x:v>1K</x:v>
      </x:c>
      <x:c r="C539" s="2" t="str">
        <x:v>Да</x:v>
      </x:c>
      <x:c r="D539" s="8" t="str">
        <x:v>CRCW06031K00FKEA</x:v>
      </x:c>
      <x:c r="E539" s="2" t="str">
        <x:v>Vishay</x:v>
      </x:c>
      <x:c r="F539" s="8" t="str">
        <x:v>0603</x:v>
      </x:c>
      <x:c r="G539" s="2" t="str">
        <x:v>SURFACE_MOUNT</x:v>
      </x:c>
      <x:c r="H539" s="2" t="str">
        <x:v>SELECTED_FAMILY_CODE</x:v>
      </x:c>
      <x:c r="I539" s="2" t="str">
        <x:v>Не выпущено</x:v>
      </x:c>
      <x:c r="J539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39" s="31" t="str">
        <x:v>https://www.vishay.com/docs/20035/dcrcwe3.pdf</x:v>
      </x:c>
      <x:c r="L539" s="31" t="str"/>
    </x:row>
    <x:row r="540" ht="38" customHeight="1">
      <x:c r="A540" s="12" t="str">
        <x:v>R228</x:v>
      </x:c>
      <x:c r="B540" s="12" t="str">
        <x:v>1K</x:v>
      </x:c>
      <x:c r="C540" s="12" t="str">
        <x:v>Да</x:v>
      </x:c>
      <x:c r="D540" s="11" t="str">
        <x:v>CRCW06031K00FKEA</x:v>
      </x:c>
      <x:c r="E540" s="12" t="str">
        <x:v>Vishay</x:v>
      </x:c>
      <x:c r="F540" s="11" t="str">
        <x:v>0603</x:v>
      </x:c>
      <x:c r="G540" s="12" t="str">
        <x:v>SURFACE_MOUNT</x:v>
      </x:c>
      <x:c r="H540" s="12" t="str">
        <x:v>SELECTED_FAMILY_CODE</x:v>
      </x:c>
      <x:c r="I540" s="12" t="str">
        <x:v>Не выпущено</x:v>
      </x:c>
      <x:c r="J540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40" s="33" t="str">
        <x:v>https://www.vishay.com/docs/20035/dcrcwe3.pdf</x:v>
      </x:c>
      <x:c r="L540" s="33" t="str"/>
    </x:row>
    <x:row r="541" ht="38" customHeight="1">
      <x:c r="A541" s="2" t="str">
        <x:v>R229</x:v>
      </x:c>
      <x:c r="B541" s="2" t="str">
        <x:v>1K</x:v>
      </x:c>
      <x:c r="C541" s="2" t="str">
        <x:v>Да</x:v>
      </x:c>
      <x:c r="D541" s="8" t="str">
        <x:v>CRCW06031K00FKEA</x:v>
      </x:c>
      <x:c r="E541" s="2" t="str">
        <x:v>Vishay</x:v>
      </x:c>
      <x:c r="F541" s="8" t="str">
        <x:v>0603</x:v>
      </x:c>
      <x:c r="G541" s="2" t="str">
        <x:v>SURFACE_MOUNT</x:v>
      </x:c>
      <x:c r="H541" s="2" t="str">
        <x:v>SELECTED_FAMILY_CODE</x:v>
      </x:c>
      <x:c r="I541" s="2" t="str">
        <x:v>Не выпущено</x:v>
      </x:c>
      <x:c r="J541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41" s="31" t="str">
        <x:v>https://www.vishay.com/docs/20035/dcrcwe3.pdf</x:v>
      </x:c>
      <x:c r="L541" s="31" t="str"/>
    </x:row>
    <x:row r="542" ht="38" customHeight="1">
      <x:c r="A542" s="12" t="str">
        <x:v>R230</x:v>
      </x:c>
      <x:c r="B542" s="12" t="str">
        <x:v>2K</x:v>
      </x:c>
      <x:c r="C542" s="12" t="str">
        <x:v>Да</x:v>
      </x:c>
      <x:c r="D542" s="11" t="str">
        <x:v>CRCW12062K00FKEA</x:v>
      </x:c>
      <x:c r="E542" s="12" t="str">
        <x:v>Vishay</x:v>
      </x:c>
      <x:c r="F542" s="11" t="str">
        <x:v>1206</x:v>
      </x:c>
      <x:c r="G542" s="12" t="str">
        <x:v>SURFACE_MOUNT</x:v>
      </x:c>
      <x:c r="H542" s="12" t="str">
        <x:v>SELECTED_FAMILY_CODE</x:v>
      </x:c>
      <x:c r="I542" s="12" t="str">
        <x:v>Не выпущено</x:v>
      </x:c>
      <x:c r="J542" s="33" t="str">
        <x:v>resistance_ohm: 2000.0; tolerance_pct: 1; tcr_ppm_c: 100; power_w: 0.25; working_voltage_v: 200;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42" s="33" t="str">
        <x:v>https://www.vishay.com/docs/20035/dcrcwe3.pdf</x:v>
      </x:c>
      <x:c r="L542" s="33" t="str"/>
    </x:row>
    <x:row r="543" ht="38" customHeight="1">
      <x:c r="A543" s="2" t="str">
        <x:v>R231</x:v>
      </x:c>
      <x:c r="B543" s="2" t="str">
        <x:v>2K</x:v>
      </x:c>
      <x:c r="C543" s="2" t="str">
        <x:v>Да</x:v>
      </x:c>
      <x:c r="D543" s="8" t="str">
        <x:v>CRCW12062K00FKEA</x:v>
      </x:c>
      <x:c r="E543" s="2" t="str">
        <x:v>Vishay</x:v>
      </x:c>
      <x:c r="F543" s="8" t="str">
        <x:v>1206</x:v>
      </x:c>
      <x:c r="G543" s="2" t="str">
        <x:v>SURFACE_MOUNT</x:v>
      </x:c>
      <x:c r="H543" s="2" t="str">
        <x:v>SELECTED_FAMILY_CODE</x:v>
      </x:c>
      <x:c r="I543" s="2" t="str">
        <x:v>Не выпущено</x:v>
      </x:c>
      <x:c r="J543" s="31" t="str">
        <x:v>resistance_ohm: 2000.0; tolerance_pct: 1; tcr_ppm_c: 100; power_w: 0.25; working_voltage_v: 200;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43" s="31" t="str">
        <x:v>https://www.vishay.com/docs/20035/dcrcwe3.pdf</x:v>
      </x:c>
      <x:c r="L543" s="31" t="str"/>
    </x:row>
    <x:row r="544" ht="38" customHeight="1">
      <x:c r="A544" s="12" t="str">
        <x:v>R232</x:v>
      </x:c>
      <x:c r="B544" s="12" t="str">
        <x:v>56k</x:v>
      </x:c>
      <x:c r="C544" s="12" t="str">
        <x:v>Да</x:v>
      </x:c>
      <x:c r="D544" s="11" t="str">
        <x:v>CRCW080556K0FKEA</x:v>
      </x:c>
      <x:c r="E544" s="12" t="str">
        <x:v>Vishay</x:v>
      </x:c>
      <x:c r="F544" s="11" t="str">
        <x:v>0805</x:v>
      </x:c>
      <x:c r="G544" s="12" t="str">
        <x:v>SURFACE_MOUNT</x:v>
      </x:c>
      <x:c r="H544" s="12" t="str">
        <x:v>SELECTED_FAMILY_CODE</x:v>
      </x:c>
      <x:c r="I544" s="12" t="str">
        <x:v>Не выпущено</x:v>
      </x:c>
      <x:c r="J544" s="33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44" s="33" t="str">
        <x:v>https://www.vishay.com/docs/20035/dcrcwe3.pdf</x:v>
      </x:c>
      <x:c r="L544" s="33" t="str"/>
    </x:row>
    <x:row r="545" ht="38" customHeight="1">
      <x:c r="A545" s="2" t="str">
        <x:v>R233</x:v>
      </x:c>
      <x:c r="B545" s="2" t="str">
        <x:v>56k</x:v>
      </x:c>
      <x:c r="C545" s="2" t="str">
        <x:v>Да</x:v>
      </x:c>
      <x:c r="D545" s="8" t="str">
        <x:v>CRCW080556K0FKEA</x:v>
      </x:c>
      <x:c r="E545" s="2" t="str">
        <x:v>Vishay</x:v>
      </x:c>
      <x:c r="F545" s="8" t="str">
        <x:v>0805</x:v>
      </x:c>
      <x:c r="G545" s="2" t="str">
        <x:v>SURFACE_MOUNT</x:v>
      </x:c>
      <x:c r="H545" s="2" t="str">
        <x:v>SELECTED_FAMILY_CODE</x:v>
      </x:c>
      <x:c r="I545" s="2" t="str">
        <x:v>Не выпущено</x:v>
      </x:c>
      <x:c r="J545" s="31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45" s="31" t="str">
        <x:v>https://www.vishay.com/docs/20035/dcrcwe3.pdf</x:v>
      </x:c>
      <x:c r="L545" s="31" t="str"/>
    </x:row>
    <x:row r="546" ht="38" customHeight="1">
      <x:c r="A546" s="12" t="str">
        <x:v>R234</x:v>
      </x:c>
      <x:c r="B546" s="12" t="str">
        <x:v>56k</x:v>
      </x:c>
      <x:c r="C546" s="12" t="str">
        <x:v>Да</x:v>
      </x:c>
      <x:c r="D546" s="11" t="str">
        <x:v>CRCW080556K0FKEA</x:v>
      </x:c>
      <x:c r="E546" s="12" t="str">
        <x:v>Vishay</x:v>
      </x:c>
      <x:c r="F546" s="11" t="str">
        <x:v>0805</x:v>
      </x:c>
      <x:c r="G546" s="12" t="str">
        <x:v>SURFACE_MOUNT</x:v>
      </x:c>
      <x:c r="H546" s="12" t="str">
        <x:v>SELECTED_FAMILY_CODE</x:v>
      </x:c>
      <x:c r="I546" s="12" t="str">
        <x:v>Не выпущено</x:v>
      </x:c>
      <x:c r="J546" s="33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46" s="33" t="str">
        <x:v>https://www.vishay.com/docs/20035/dcrcwe3.pdf</x:v>
      </x:c>
      <x:c r="L546" s="33" t="str"/>
    </x:row>
    <x:row r="547" ht="38" customHeight="1">
      <x:c r="A547" s="2" t="str">
        <x:v>R235</x:v>
      </x:c>
      <x:c r="B547" s="2" t="str">
        <x:v>56k</x:v>
      </x:c>
      <x:c r="C547" s="2" t="str">
        <x:v>Да</x:v>
      </x:c>
      <x:c r="D547" s="8" t="str">
        <x:v>CRCW080556K0FKEA</x:v>
      </x:c>
      <x:c r="E547" s="2" t="str">
        <x:v>Vishay</x:v>
      </x:c>
      <x:c r="F547" s="8" t="str">
        <x:v>0805</x:v>
      </x:c>
      <x:c r="G547" s="2" t="str">
        <x:v>SURFACE_MOUNT</x:v>
      </x:c>
      <x:c r="H547" s="2" t="str">
        <x:v>SELECTED_FAMILY_CODE</x:v>
      </x:c>
      <x:c r="I547" s="2" t="str">
        <x:v>Не выпущено</x:v>
      </x:c>
      <x:c r="J547" s="31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47" s="31" t="str">
        <x:v>https://www.vishay.com/docs/20035/dcrcwe3.pdf</x:v>
      </x:c>
      <x:c r="L547" s="31" t="str"/>
    </x:row>
    <x:row r="548" ht="38" customHeight="1">
      <x:c r="A548" s="12" t="str">
        <x:v>R236</x:v>
      </x:c>
      <x:c r="B548" s="12" t="str">
        <x:v>56k</x:v>
      </x:c>
      <x:c r="C548" s="12" t="str">
        <x:v>Да</x:v>
      </x:c>
      <x:c r="D548" s="11" t="str">
        <x:v>CRCW080556K0FKEA</x:v>
      </x:c>
      <x:c r="E548" s="12" t="str">
        <x:v>Vishay</x:v>
      </x:c>
      <x:c r="F548" s="11" t="str">
        <x:v>0805</x:v>
      </x:c>
      <x:c r="G548" s="12" t="str">
        <x:v>SURFACE_MOUNT</x:v>
      </x:c>
      <x:c r="H548" s="12" t="str">
        <x:v>SELECTED_FAMILY_CODE</x:v>
      </x:c>
      <x:c r="I548" s="12" t="str">
        <x:v>Не выпущено</x:v>
      </x:c>
      <x:c r="J548" s="33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48" s="33" t="str">
        <x:v>https://www.vishay.com/docs/20035/dcrcwe3.pdf</x:v>
      </x:c>
      <x:c r="L548" s="33" t="str"/>
    </x:row>
    <x:row r="549" ht="38" customHeight="1">
      <x:c r="A549" s="2" t="str">
        <x:v>R237</x:v>
      </x:c>
      <x:c r="B549" s="2" t="str">
        <x:v>56k</x:v>
      </x:c>
      <x:c r="C549" s="2" t="str">
        <x:v>Да</x:v>
      </x:c>
      <x:c r="D549" s="8" t="str">
        <x:v>CRCW080556K0FKEA</x:v>
      </x:c>
      <x:c r="E549" s="2" t="str">
        <x:v>Vishay</x:v>
      </x:c>
      <x:c r="F549" s="8" t="str">
        <x:v>0805</x:v>
      </x:c>
      <x:c r="G549" s="2" t="str">
        <x:v>SURFACE_MOUNT</x:v>
      </x:c>
      <x:c r="H549" s="2" t="str">
        <x:v>SELECTED_FAMILY_CODE</x:v>
      </x:c>
      <x:c r="I549" s="2" t="str">
        <x:v>Не выпущено</x:v>
      </x:c>
      <x:c r="J549" s="31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49" s="31" t="str">
        <x:v>https://www.vishay.com/docs/20035/dcrcwe3.pdf</x:v>
      </x:c>
      <x:c r="L549" s="31" t="str"/>
    </x:row>
    <x:row r="550" ht="38" customHeight="1">
      <x:c r="A550" s="12" t="str">
        <x:v>R238</x:v>
      </x:c>
      <x:c r="B550" s="12" t="str">
        <x:v>56k</x:v>
      </x:c>
      <x:c r="C550" s="12" t="str">
        <x:v>Да</x:v>
      </x:c>
      <x:c r="D550" s="11" t="str">
        <x:v>CRCW080556K0FKEA</x:v>
      </x:c>
      <x:c r="E550" s="12" t="str">
        <x:v>Vishay</x:v>
      </x:c>
      <x:c r="F550" s="11" t="str">
        <x:v>0805</x:v>
      </x:c>
      <x:c r="G550" s="12" t="str">
        <x:v>SURFACE_MOUNT</x:v>
      </x:c>
      <x:c r="H550" s="12" t="str">
        <x:v>SELECTED_FAMILY_CODE</x:v>
      </x:c>
      <x:c r="I550" s="12" t="str">
        <x:v>Не выпущено</x:v>
      </x:c>
      <x:c r="J550" s="33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50" s="33" t="str">
        <x:v>https://www.vishay.com/docs/20035/dcrcwe3.pdf</x:v>
      </x:c>
      <x:c r="L550" s="33" t="str"/>
    </x:row>
    <x:row r="551" ht="38" customHeight="1">
      <x:c r="A551" s="2" t="str">
        <x:v>R239</x:v>
      </x:c>
      <x:c r="B551" s="2" t="str">
        <x:v>56k</x:v>
      </x:c>
      <x:c r="C551" s="2" t="str">
        <x:v>Да</x:v>
      </x:c>
      <x:c r="D551" s="8" t="str">
        <x:v>CRCW080556K0FKEA</x:v>
      </x:c>
      <x:c r="E551" s="2" t="str">
        <x:v>Vishay</x:v>
      </x:c>
      <x:c r="F551" s="8" t="str">
        <x:v>0805</x:v>
      </x:c>
      <x:c r="G551" s="2" t="str">
        <x:v>SURFACE_MOUNT</x:v>
      </x:c>
      <x:c r="H551" s="2" t="str">
        <x:v>SELECTED_FAMILY_CODE</x:v>
      </x:c>
      <x:c r="I551" s="2" t="str">
        <x:v>Не выпущено</x:v>
      </x:c>
      <x:c r="J551" s="31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51" s="31" t="str">
        <x:v>https://www.vishay.com/docs/20035/dcrcwe3.pdf</x:v>
      </x:c>
      <x:c r="L551" s="31" t="str"/>
    </x:row>
    <x:row r="552" ht="38" customHeight="1">
      <x:c r="A552" s="12" t="str">
        <x:v>R240</x:v>
      </x:c>
      <x:c r="B552" s="12" t="str">
        <x:v>56k</x:v>
      </x:c>
      <x:c r="C552" s="12" t="str">
        <x:v>Да</x:v>
      </x:c>
      <x:c r="D552" s="11" t="str">
        <x:v>CRCW080556K0FKEA</x:v>
      </x:c>
      <x:c r="E552" s="12" t="str">
        <x:v>Vishay</x:v>
      </x:c>
      <x:c r="F552" s="11" t="str">
        <x:v>0805</x:v>
      </x:c>
      <x:c r="G552" s="12" t="str">
        <x:v>SURFACE_MOUNT</x:v>
      </x:c>
      <x:c r="H552" s="12" t="str">
        <x:v>SELECTED_FAMILY_CODE</x:v>
      </x:c>
      <x:c r="I552" s="12" t="str">
        <x:v>Не выпущено</x:v>
      </x:c>
      <x:c r="J552" s="33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52" s="33" t="str">
        <x:v>https://www.vishay.com/docs/20035/dcrcwe3.pdf</x:v>
      </x:c>
      <x:c r="L552" s="33" t="str"/>
    </x:row>
    <x:row r="553" ht="38" customHeight="1">
      <x:c r="A553" s="2" t="str">
        <x:v>R297</x:v>
      </x:c>
      <x:c r="B553" s="2" t="str">
        <x:v>10k 1%</x:v>
      </x:c>
      <x:c r="C553" s="2" t="str">
        <x:v>Да</x:v>
      </x:c>
      <x:c r="D553" s="8" t="str">
        <x:v>CRCW060310K0FKEA</x:v>
      </x:c>
      <x:c r="E553" s="2" t="str">
        <x:v>Vishay</x:v>
      </x:c>
      <x:c r="F553" s="8" t="str">
        <x:v>0603</x:v>
      </x:c>
      <x:c r="G553" s="2" t="str">
        <x:v>SURFACE_MOUNT</x:v>
      </x:c>
      <x:c r="H553" s="2" t="str">
        <x:v>SELECTED_FAMILY_CODE</x:v>
      </x:c>
      <x:c r="I553" s="2" t="str">
        <x:v>Не выпущено</x:v>
      </x:c>
      <x:c r="J55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53" s="31" t="str">
        <x:v>https://www.vishay.com/docs/20035/dcrcwe3.pdf</x:v>
      </x:c>
      <x:c r="L553" s="31" t="str"/>
    </x:row>
    <x:row r="554" ht="38" customHeight="1">
      <x:c r="A554" s="12" t="str">
        <x:v>R298</x:v>
      </x:c>
      <x:c r="B554" s="12" t="str">
        <x:v>910 1% minimum load</x:v>
      </x:c>
      <x:c r="C554" s="12" t="str">
        <x:v>Да</x:v>
      </x:c>
      <x:c r="D554" s="11" t="str">
        <x:v>CRCW0603910RFKEA</x:v>
      </x:c>
      <x:c r="E554" s="12" t="str">
        <x:v>Vishay</x:v>
      </x:c>
      <x:c r="F554" s="11" t="str">
        <x:v>0603</x:v>
      </x:c>
      <x:c r="G554" s="12" t="str">
        <x:v>SURFACE_MOUNT</x:v>
      </x:c>
      <x:c r="H554" s="12" t="str">
        <x:v>SELECTED_FAMILY_CODE</x:v>
      </x:c>
      <x:c r="I554" s="12" t="str">
        <x:v>Не выпущено</x:v>
      </x:c>
      <x:c r="J554" s="33" t="str">
        <x:v>resistance_ohm: 910.0;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54" s="33" t="str">
        <x:v>https://www.vishay.com/docs/20035/dcrcwe3.pdf</x:v>
      </x:c>
      <x:c r="L554" s="33" t="str"/>
    </x:row>
    <x:row r="555" ht="38" customHeight="1">
      <x:c r="A555" s="2" t="str">
        <x:v>R299</x:v>
      </x:c>
      <x:c r="B555" s="2" t="str">
        <x:v>DNP_ENABLE_BOUNDARY</x:v>
      </x:c>
      <x:c r="C555" s="2" t="str">
        <x:v>DNP</x:v>
      </x:c>
      <x:c r="D555" s="8" t="str"/>
      <x:c r="E555" s="2" t="str"/>
      <x:c r="F555" s="8" t="str">
        <x:v>Power8GDI_GDI:REF_R123</x:v>
      </x:c>
      <x:c r="G555" s="2" t="str">
        <x:v>SURFACE_MOUNT</x:v>
      </x:c>
      <x:c r="H555" s="2" t="str">
        <x:v>Исключено из закупки</x:v>
      </x:c>
      <x:c r="I555" s="2" t="str">
        <x:v>Нет</x:v>
      </x:c>
      <x:c r="J555" s="31" t="str"/>
      <x:c r="K555" s="31" t="str"/>
      <x:c r="L555" s="31" t="str"/>
    </x:row>
    <x:row r="556" ht="38" customHeight="1">
      <x:c r="A556" s="12" t="str">
        <x:v>R301</x:v>
      </x:c>
      <x:c r="B556" s="12" t="str">
        <x:v>10</x:v>
      </x:c>
      <x:c r="C556" s="12" t="str">
        <x:v>Да</x:v>
      </x:c>
      <x:c r="D556" s="11" t="str">
        <x:v>CRCW060310R0FKEA</x:v>
      </x:c>
      <x:c r="E556" s="12" t="str">
        <x:v>Vishay</x:v>
      </x:c>
      <x:c r="F556" s="11" t="str">
        <x:v>0603</x:v>
      </x:c>
      <x:c r="G556" s="12" t="str">
        <x:v>SURFACE_MOUNT</x:v>
      </x:c>
      <x:c r="H556" s="12" t="str">
        <x:v>SELECTED_FAMILY_CODE</x:v>
      </x:c>
      <x:c r="I556" s="12" t="str">
        <x:v>Не выпущено</x:v>
      </x:c>
      <x:c r="J556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56" s="33" t="str">
        <x:v>https://www.vishay.com/docs/20035/dcrcwe3.pdf</x:v>
      </x:c>
      <x:c r="L556" s="33" t="str"/>
    </x:row>
    <x:row r="557" ht="38" customHeight="1">
      <x:c r="A557" s="2" t="str">
        <x:v>R302</x:v>
      </x:c>
      <x:c r="B557" s="2" t="str">
        <x:v>10</x:v>
      </x:c>
      <x:c r="C557" s="2" t="str">
        <x:v>Да</x:v>
      </x:c>
      <x:c r="D557" s="8" t="str">
        <x:v>CRCW060310R0FKEA</x:v>
      </x:c>
      <x:c r="E557" s="2" t="str">
        <x:v>Vishay</x:v>
      </x:c>
      <x:c r="F557" s="8" t="str">
        <x:v>0603</x:v>
      </x:c>
      <x:c r="G557" s="2" t="str">
        <x:v>SURFACE_MOUNT</x:v>
      </x:c>
      <x:c r="H557" s="2" t="str">
        <x:v>SELECTED_FAMILY_CODE</x:v>
      </x:c>
      <x:c r="I557" s="2" t="str">
        <x:v>Не выпущено</x:v>
      </x:c>
      <x:c r="J557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57" s="31" t="str">
        <x:v>https://www.vishay.com/docs/20035/dcrcwe3.pdf</x:v>
      </x:c>
      <x:c r="L557" s="31" t="str"/>
    </x:row>
    <x:row r="558" ht="38" customHeight="1">
      <x:c r="A558" s="12" t="str">
        <x:v>R303</x:v>
      </x:c>
      <x:c r="B558" s="12" t="str">
        <x:v>0.01</x:v>
      </x:c>
      <x:c r="C558" s="12" t="str">
        <x:v>Да</x:v>
      </x:c>
      <x:c r="D558" s="11" t="str">
        <x:v>WSLP1206R0100FEA</x:v>
      </x:c>
      <x:c r="E558" s="12" t="str">
        <x:v>Vishay</x:v>
      </x:c>
      <x:c r="F558" s="11" t="str">
        <x:v>1206</x:v>
      </x:c>
      <x:c r="G558" s="12" t="str">
        <x:v>SURFACE_MOUNT</x:v>
      </x:c>
      <x:c r="H558" s="12" t="str">
        <x:v>SELECTED_CONDITIONAL</x:v>
      </x:c>
      <x:c r="I558" s="12" t="str">
        <x:v>Не выпущено</x:v>
      </x:c>
      <x:c r="J558" s="33" t="str">
        <x:v>resistance_ohm: 0.01; tolerance_pct: 1; tcr_ppm_c: 75; power_w: 1; power_reference_temperature_c: 70; temperature_min_c: -65; temperature_max_c: 170; technology: metal strip; terminals: 2; pcb_sense_pads: 4; pulse_rating: Use manufacturer pulse-duration curve; repetitive B58 current/energy not qualified; derating: Use manufacturer power versus ambient/terminal temperature curve; PCB thermal and fault pulse envelope not qualified.</x:v>
      </x:c>
      <x:c r="K558" s="33" t="str">
        <x:v>https://www.vishay.com/docs/30122/wslp.pdf; https://www.digikey.com/en/product-highlight/v/vishay-dale/wslp1206-very-high-power-1-w-surface-mount-power-metal-strip-resistor</x:v>
      </x:c>
      <x:c r="L558" s="33" t="str">
        <x:v>Original C309628 thick-film1500ppm/K rejected for precision current sensing; proposed metal strip needs repetitive pulse, hot derating and Kelvin pad review.</x:v>
      </x:c>
    </x:row>
    <x:row r="559" ht="38" customHeight="1">
      <x:c r="A559" s="2" t="str">
        <x:v>R304</x:v>
      </x:c>
      <x:c r="B559" s="2" t="str">
        <x:v>10</x:v>
      </x:c>
      <x:c r="C559" s="2" t="str">
        <x:v>Да</x:v>
      </x:c>
      <x:c r="D559" s="8" t="str">
        <x:v>CRCW060310R0FKEA</x:v>
      </x:c>
      <x:c r="E559" s="2" t="str">
        <x:v>Vishay</x:v>
      </x:c>
      <x:c r="F559" s="8" t="str">
        <x:v>0603</x:v>
      </x:c>
      <x:c r="G559" s="2" t="str">
        <x:v>SURFACE_MOUNT</x:v>
      </x:c>
      <x:c r="H559" s="2" t="str">
        <x:v>SELECTED_FAMILY_CODE</x:v>
      </x:c>
      <x:c r="I559" s="2" t="str">
        <x:v>Не выпущено</x:v>
      </x:c>
      <x:c r="J559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59" s="31" t="str">
        <x:v>https://www.vishay.com/docs/20035/dcrcwe3.pdf</x:v>
      </x:c>
      <x:c r="L559" s="31" t="str"/>
    </x:row>
    <x:row r="560" ht="38" customHeight="1">
      <x:c r="A560" s="12" t="str">
        <x:v>R305</x:v>
      </x:c>
      <x:c r="B560" s="12" t="str">
        <x:v>10</x:v>
      </x:c>
      <x:c r="C560" s="12" t="str">
        <x:v>Да</x:v>
      </x:c>
      <x:c r="D560" s="11" t="str">
        <x:v>CRCW060310R0FKEA</x:v>
      </x:c>
      <x:c r="E560" s="12" t="str">
        <x:v>Vishay</x:v>
      </x:c>
      <x:c r="F560" s="11" t="str">
        <x:v>0603</x:v>
      </x:c>
      <x:c r="G560" s="12" t="str">
        <x:v>SURFACE_MOUNT</x:v>
      </x:c>
      <x:c r="H560" s="12" t="str">
        <x:v>SELECTED_FAMILY_CODE</x:v>
      </x:c>
      <x:c r="I560" s="12" t="str">
        <x:v>Не выпущено</x:v>
      </x:c>
      <x:c r="J560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60" s="33" t="str">
        <x:v>https://www.vishay.com/docs/20035/dcrcwe3.pdf</x:v>
      </x:c>
      <x:c r="L560" s="33" t="str"/>
    </x:row>
    <x:row r="561" ht="38" customHeight="1">
      <x:c r="A561" s="2" t="str">
        <x:v>R306</x:v>
      </x:c>
      <x:c r="B561" s="2" t="str">
        <x:v>10</x:v>
      </x:c>
      <x:c r="C561" s="2" t="str">
        <x:v>Да</x:v>
      </x:c>
      <x:c r="D561" s="8" t="str">
        <x:v>CRCW060310R0FKEA</x:v>
      </x:c>
      <x:c r="E561" s="2" t="str">
        <x:v>Vishay</x:v>
      </x:c>
      <x:c r="F561" s="8" t="str">
        <x:v>0603</x:v>
      </x:c>
      <x:c r="G561" s="2" t="str">
        <x:v>SURFACE_MOUNT</x:v>
      </x:c>
      <x:c r="H561" s="2" t="str">
        <x:v>SELECTED_FAMILY_CODE</x:v>
      </x:c>
      <x:c r="I561" s="2" t="str">
        <x:v>Не выпущено</x:v>
      </x:c>
      <x:c r="J561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61" s="31" t="str">
        <x:v>https://www.vishay.com/docs/20035/dcrcwe3.pdf</x:v>
      </x:c>
      <x:c r="L561" s="31" t="str"/>
    </x:row>
    <x:row r="562" ht="38" customHeight="1">
      <x:c r="A562" s="12" t="str">
        <x:v>R307</x:v>
      </x:c>
      <x:c r="B562" s="12" t="str">
        <x:v>10</x:v>
      </x:c>
      <x:c r="C562" s="12" t="str">
        <x:v>Да</x:v>
      </x:c>
      <x:c r="D562" s="11" t="str">
        <x:v>CRCW060310R0FKEA</x:v>
      </x:c>
      <x:c r="E562" s="12" t="str">
        <x:v>Vishay</x:v>
      </x:c>
      <x:c r="F562" s="11" t="str">
        <x:v>0603</x:v>
      </x:c>
      <x:c r="G562" s="12" t="str">
        <x:v>SURFACE_MOUNT</x:v>
      </x:c>
      <x:c r="H562" s="12" t="str">
        <x:v>SELECTED_FAMILY_CODE</x:v>
      </x:c>
      <x:c r="I562" s="12" t="str">
        <x:v>Не выпущено</x:v>
      </x:c>
      <x:c r="J562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62" s="33" t="str">
        <x:v>https://www.vishay.com/docs/20035/dcrcwe3.pdf</x:v>
      </x:c>
      <x:c r="L562" s="33" t="str"/>
    </x:row>
    <x:row r="563" ht="38" customHeight="1">
      <x:c r="A563" s="2" t="str">
        <x:v>R308</x:v>
      </x:c>
      <x:c r="B563" s="2" t="str">
        <x:v>10</x:v>
      </x:c>
      <x:c r="C563" s="2" t="str">
        <x:v>Да</x:v>
      </x:c>
      <x:c r="D563" s="8" t="str">
        <x:v>CRCW060310R0FKEA</x:v>
      </x:c>
      <x:c r="E563" s="2" t="str">
        <x:v>Vishay</x:v>
      </x:c>
      <x:c r="F563" s="8" t="str">
        <x:v>0603</x:v>
      </x:c>
      <x:c r="G563" s="2" t="str">
        <x:v>SURFACE_MOUNT</x:v>
      </x:c>
      <x:c r="H563" s="2" t="str">
        <x:v>SELECTED_FAMILY_CODE</x:v>
      </x:c>
      <x:c r="I563" s="2" t="str">
        <x:v>Не выпущено</x:v>
      </x:c>
      <x:c r="J563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63" s="31" t="str">
        <x:v>https://www.vishay.com/docs/20035/dcrcwe3.pdf</x:v>
      </x:c>
      <x:c r="L563" s="31" t="str"/>
    </x:row>
    <x:row r="564" ht="38" customHeight="1">
      <x:c r="A564" s="12" t="str">
        <x:v>R310</x:v>
      </x:c>
      <x:c r="B564" s="12" t="str">
        <x:v>10</x:v>
      </x:c>
      <x:c r="C564" s="12" t="str">
        <x:v>Да</x:v>
      </x:c>
      <x:c r="D564" s="11" t="str">
        <x:v>CRCW060310R0FKEA</x:v>
      </x:c>
      <x:c r="E564" s="12" t="str">
        <x:v>Vishay</x:v>
      </x:c>
      <x:c r="F564" s="11" t="str">
        <x:v>0603</x:v>
      </x:c>
      <x:c r="G564" s="12" t="str">
        <x:v>SURFACE_MOUNT</x:v>
      </x:c>
      <x:c r="H564" s="12" t="str">
        <x:v>SELECTED_FAMILY_CODE</x:v>
      </x:c>
      <x:c r="I564" s="12" t="str">
        <x:v>Не выпущено</x:v>
      </x:c>
      <x:c r="J564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64" s="33" t="str">
        <x:v>https://www.vishay.com/docs/20035/dcrcwe3.pdf</x:v>
      </x:c>
      <x:c r="L564" s="33" t="str"/>
    </x:row>
    <x:row r="565" ht="38" customHeight="1">
      <x:c r="A565" s="2" t="str">
        <x:v>R311</x:v>
      </x:c>
      <x:c r="B565" s="2" t="str">
        <x:v>10</x:v>
      </x:c>
      <x:c r="C565" s="2" t="str">
        <x:v>Да</x:v>
      </x:c>
      <x:c r="D565" s="8" t="str">
        <x:v>CRCW060310R0FKEA</x:v>
      </x:c>
      <x:c r="E565" s="2" t="str">
        <x:v>Vishay</x:v>
      </x:c>
      <x:c r="F565" s="8" t="str">
        <x:v>0603</x:v>
      </x:c>
      <x:c r="G565" s="2" t="str">
        <x:v>SURFACE_MOUNT</x:v>
      </x:c>
      <x:c r="H565" s="2" t="str">
        <x:v>SELECTED_FAMILY_CODE</x:v>
      </x:c>
      <x:c r="I565" s="2" t="str">
        <x:v>Не выпущено</x:v>
      </x:c>
      <x:c r="J565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65" s="31" t="str">
        <x:v>https://www.vishay.com/docs/20035/dcrcwe3.pdf</x:v>
      </x:c>
      <x:c r="L565" s="31" t="str"/>
    </x:row>
    <x:row r="566" ht="38" customHeight="1">
      <x:c r="A566" s="12" t="str">
        <x:v>R312</x:v>
      </x:c>
      <x:c r="B566" s="12" t="str">
        <x:v>0.01</x:v>
      </x:c>
      <x:c r="C566" s="12" t="str">
        <x:v>Да</x:v>
      </x:c>
      <x:c r="D566" s="11" t="str">
        <x:v>WSLP1206R0100FEA</x:v>
      </x:c>
      <x:c r="E566" s="12" t="str">
        <x:v>Vishay</x:v>
      </x:c>
      <x:c r="F566" s="11" t="str">
        <x:v>1206</x:v>
      </x:c>
      <x:c r="G566" s="12" t="str">
        <x:v>SURFACE_MOUNT</x:v>
      </x:c>
      <x:c r="H566" s="12" t="str">
        <x:v>SELECTED_CONDITIONAL</x:v>
      </x:c>
      <x:c r="I566" s="12" t="str">
        <x:v>Не выпущено</x:v>
      </x:c>
      <x:c r="J566" s="33" t="str">
        <x:v>resistance_ohm: 0.01; tolerance_pct: 1; tcr_ppm_c: 75; power_w: 1; power_reference_temperature_c: 70; temperature_min_c: -65; temperature_max_c: 170; technology: metal strip; terminals: 2; pcb_sense_pads: 4; pulse_rating: Use manufacturer pulse-duration curve; repetitive B58 current/energy not qualified; derating: Use manufacturer power versus ambient/terminal temperature curve; PCB thermal and fault pulse envelope not qualified.</x:v>
      </x:c>
      <x:c r="K566" s="33" t="str">
        <x:v>https://www.vishay.com/docs/30122/wslp.pdf; https://www.digikey.com/en/product-highlight/v/vishay-dale/wslp1206-very-high-power-1-w-surface-mount-power-metal-strip-resistor</x:v>
      </x:c>
      <x:c r="L566" s="33" t="str">
        <x:v>Original C309628 thick-film1500ppm/K rejected for precision current sensing; proposed metal strip needs repetitive pulse, hot derating and Kelvin pad review.</x:v>
      </x:c>
    </x:row>
    <x:row r="567" ht="38" customHeight="1">
      <x:c r="A567" s="2" t="str">
        <x:v>R313</x:v>
      </x:c>
      <x:c r="B567" s="2" t="str">
        <x:v>0.01</x:v>
      </x:c>
      <x:c r="C567" s="2" t="str">
        <x:v>Да</x:v>
      </x:c>
      <x:c r="D567" s="8" t="str">
        <x:v>WSLP1206R0100FEA</x:v>
      </x:c>
      <x:c r="E567" s="2" t="str">
        <x:v>Vishay</x:v>
      </x:c>
      <x:c r="F567" s="8" t="str">
        <x:v>1206</x:v>
      </x:c>
      <x:c r="G567" s="2" t="str">
        <x:v>SURFACE_MOUNT</x:v>
      </x:c>
      <x:c r="H567" s="2" t="str">
        <x:v>SELECTED_CONDITIONAL</x:v>
      </x:c>
      <x:c r="I567" s="2" t="str">
        <x:v>Не выпущено</x:v>
      </x:c>
      <x:c r="J567" s="31" t="str">
        <x:v>resistance_ohm: 0.01; tolerance_pct: 1; tcr_ppm_c: 75; power_w: 1; power_reference_temperature_c: 70; temperature_min_c: -65; temperature_max_c: 170; technology: metal strip; terminals: 2; pcb_sense_pads: 4; pulse_rating: Use manufacturer pulse-duration curve; repetitive B58 current/energy not qualified; derating: Use manufacturer power versus ambient/terminal temperature curve; PCB thermal and fault pulse envelope not qualified.</x:v>
      </x:c>
      <x:c r="K567" s="31" t="str">
        <x:v>https://www.vishay.com/docs/30122/wslp.pdf; https://www.digikey.com/en/product-highlight/v/vishay-dale/wslp1206-very-high-power-1-w-surface-mount-power-metal-strip-resistor</x:v>
      </x:c>
      <x:c r="L567" s="31" t="str">
        <x:v>Original C309628 thick-film1500ppm/K rejected for precision current sensing; proposed metal strip needs repetitive pulse, hot derating and Kelvin pad review.</x:v>
      </x:c>
    </x:row>
    <x:row r="568" ht="38" customHeight="1">
      <x:c r="A568" s="12" t="str">
        <x:v>R314</x:v>
      </x:c>
      <x:c r="B568" s="12" t="str">
        <x:v>10</x:v>
      </x:c>
      <x:c r="C568" s="12" t="str">
        <x:v>Да</x:v>
      </x:c>
      <x:c r="D568" s="11" t="str">
        <x:v>CRCW060310R0FKEA</x:v>
      </x:c>
      <x:c r="E568" s="12" t="str">
        <x:v>Vishay</x:v>
      </x:c>
      <x:c r="F568" s="11" t="str">
        <x:v>0603</x:v>
      </x:c>
      <x:c r="G568" s="12" t="str">
        <x:v>SURFACE_MOUNT</x:v>
      </x:c>
      <x:c r="H568" s="12" t="str">
        <x:v>SELECTED_FAMILY_CODE</x:v>
      </x:c>
      <x:c r="I568" s="12" t="str">
        <x:v>Не выпущено</x:v>
      </x:c>
      <x:c r="J568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68" s="33" t="str">
        <x:v>https://www.vishay.com/docs/20035/dcrcwe3.pdf</x:v>
      </x:c>
      <x:c r="L568" s="33" t="str"/>
    </x:row>
    <x:row r="569" ht="38" customHeight="1">
      <x:c r="A569" s="2" t="str">
        <x:v>R315</x:v>
      </x:c>
      <x:c r="B569" s="2" t="str">
        <x:v>0.01</x:v>
      </x:c>
      <x:c r="C569" s="2" t="str">
        <x:v>Да</x:v>
      </x:c>
      <x:c r="D569" s="8" t="str">
        <x:v>WSLP1206R0100FEA</x:v>
      </x:c>
      <x:c r="E569" s="2" t="str">
        <x:v>Vishay</x:v>
      </x:c>
      <x:c r="F569" s="8" t="str">
        <x:v>1206</x:v>
      </x:c>
      <x:c r="G569" s="2" t="str">
        <x:v>SURFACE_MOUNT</x:v>
      </x:c>
      <x:c r="H569" s="2" t="str">
        <x:v>SELECTED_CONDITIONAL</x:v>
      </x:c>
      <x:c r="I569" s="2" t="str">
        <x:v>Не выпущено</x:v>
      </x:c>
      <x:c r="J569" s="31" t="str">
        <x:v>resistance_ohm: 0.01; tolerance_pct: 1; tcr_ppm_c: 75; power_w: 1; power_reference_temperature_c: 70; temperature_min_c: -65; temperature_max_c: 170; technology: metal strip; terminals: 2; pcb_sense_pads: 4; pulse_rating: Use manufacturer pulse-duration curve; repetitive B58 current/energy not qualified; derating: Use manufacturer power versus ambient/terminal temperature curve; PCB thermal and fault pulse envelope not qualified.</x:v>
      </x:c>
      <x:c r="K569" s="31" t="str">
        <x:v>https://www.vishay.com/docs/30122/wslp.pdf; https://www.digikey.com/en/product-highlight/v/vishay-dale/wslp1206-very-high-power-1-w-surface-mount-power-metal-strip-resistor</x:v>
      </x:c>
      <x:c r="L569" s="31" t="str">
        <x:v>Original C309628 thick-film1500ppm/K rejected for precision current sensing; proposed metal strip needs repetitive pulse, hot derating and Kelvin pad review.</x:v>
      </x:c>
    </x:row>
    <x:row r="570" ht="38" customHeight="1">
      <x:c r="A570" s="12" t="str">
        <x:v>R316</x:v>
      </x:c>
      <x:c r="B570" s="12" t="str">
        <x:v>Jumper-Pad-Pad</x:v>
      </x:c>
      <x:c r="C570" s="12" t="str">
        <x:v>Да</x:v>
      </x:c>
      <x:c r="D570" s="11" t="str">
        <x:v>CRCW08050000Z0EA</x:v>
      </x:c>
      <x:c r="E570" s="12" t="str">
        <x:v>Vishay</x:v>
      </x:c>
      <x:c r="F570" s="11" t="str">
        <x:v>0805</x:v>
      </x:c>
      <x:c r="G570" s="12" t="str">
        <x:v>SURFACE_MOUNT</x:v>
      </x:c>
      <x:c r="H570" s="12" t="str">
        <x:v>SELECTED_FAMILY_CODE</x:v>
      </x:c>
      <x:c r="I570" s="12" t="str">
        <x:v>Не выпущено</x:v>
      </x:c>
      <x:c r="J570" s="33" t="str">
        <x:v>resistance_ohm: 0; tolerance_pct: None; tcr_ppm_c: None; power_w: 0.125; working_voltage_v: 150; power_reference_temperature_c: 70; temperature_min_c: -55; temperature_max_c: 155; technology: jumper; aec_q200: True; current_a: 2.5</x:v>
      </x:c>
      <x:c r="K570" s="33" t="str">
        <x:v>https://www.vishay.com/docs/20035/dcrcwe3.pdf</x:v>
      </x:c>
      <x:c r="L570" s="33" t="str"/>
    </x:row>
    <x:row r="571" ht="38" customHeight="1">
      <x:c r="A571" s="2" t="str">
        <x:v>R317</x:v>
      </x:c>
      <x:c r="B571" s="2" t="str">
        <x:v>220</x:v>
      </x:c>
      <x:c r="C571" s="2" t="str">
        <x:v>Да</x:v>
      </x:c>
      <x:c r="D571" s="8" t="str">
        <x:v>CRCW0603220RFKEA</x:v>
      </x:c>
      <x:c r="E571" s="2" t="str">
        <x:v>Vishay</x:v>
      </x:c>
      <x:c r="F571" s="8" t="str">
        <x:v>0603</x:v>
      </x:c>
      <x:c r="G571" s="2" t="str">
        <x:v>SURFACE_MOUNT</x:v>
      </x:c>
      <x:c r="H571" s="2" t="str">
        <x:v>SELECTED_FAMILY_CODE</x:v>
      </x:c>
      <x:c r="I571" s="2" t="str">
        <x:v>Не выпущено</x:v>
      </x:c>
      <x:c r="J571" s="31" t="str">
        <x:v>resistance_ohm: 220.0;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71" s="31" t="str">
        <x:v>https://www.vishay.com/docs/20035/dcrcwe3.pdf</x:v>
      </x:c>
      <x:c r="L571" s="31" t="str"/>
    </x:row>
    <x:row r="572" ht="38" customHeight="1">
      <x:c r="A572" s="12" t="str">
        <x:v>R318</x:v>
      </x:c>
      <x:c r="B572" s="12" t="str">
        <x:v>DNP</x:v>
      </x:c>
      <x:c r="C572" s="12" t="str">
        <x:v>DNP</x:v>
      </x:c>
      <x:c r="D572" s="11" t="str"/>
      <x:c r="E572" s="12" t="str"/>
      <x:c r="F572" s="11" t="str">
        <x:v>Power8GDI_GDI:REF_R41</x:v>
      </x:c>
      <x:c r="G572" s="12" t="str">
        <x:v>SURFACE_MOUNT</x:v>
      </x:c>
      <x:c r="H572" s="12" t="str">
        <x:v>Исключено из закупки</x:v>
      </x:c>
      <x:c r="I572" s="12" t="str">
        <x:v>Нет</x:v>
      </x:c>
      <x:c r="J572" s="33" t="str"/>
      <x:c r="K572" s="33" t="str"/>
      <x:c r="L572" s="33" t="str"/>
    </x:row>
    <x:row r="573" ht="38" customHeight="1">
      <x:c r="A573" s="2" t="str">
        <x:v>R319</x:v>
      </x:c>
      <x:c r="B573" s="2" t="str">
        <x:v>5.1</x:v>
      </x:c>
      <x:c r="C573" s="2" t="str">
        <x:v>Да</x:v>
      </x:c>
      <x:c r="D573" s="8" t="str">
        <x:v>CRCW06035R10FKEA</x:v>
      </x:c>
      <x:c r="E573" s="2" t="str">
        <x:v>Vishay</x:v>
      </x:c>
      <x:c r="F573" s="8" t="str">
        <x:v>0603</x:v>
      </x:c>
      <x:c r="G573" s="2" t="str">
        <x:v>SURFACE_MOUNT</x:v>
      </x:c>
      <x:c r="H573" s="2" t="str">
        <x:v>SELECTED_FAMILY_CODE</x:v>
      </x:c>
      <x:c r="I573" s="2" t="str">
        <x:v>Не выпущено</x:v>
      </x:c>
      <x:c r="J573" s="31" t="str">
        <x:v>resistance_ohm: 5.1;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73" s="31" t="str">
        <x:v>https://www.vishay.com/docs/20035/dcrcwe3.pdf</x:v>
      </x:c>
      <x:c r="L573" s="31" t="str"/>
    </x:row>
    <x:row r="574" ht="38" customHeight="1">
      <x:c r="A574" s="12" t="str">
        <x:v>R320</x:v>
      </x:c>
      <x:c r="B574" s="12" t="str">
        <x:v>75K</x:v>
      </x:c>
      <x:c r="C574" s="12" t="str">
        <x:v>Да</x:v>
      </x:c>
      <x:c r="D574" s="11" t="str">
        <x:v>CRCW060375K0FKEA</x:v>
      </x:c>
      <x:c r="E574" s="12" t="str">
        <x:v>Vishay</x:v>
      </x:c>
      <x:c r="F574" s="11" t="str">
        <x:v>0603</x:v>
      </x:c>
      <x:c r="G574" s="12" t="str">
        <x:v>SURFACE_MOUNT</x:v>
      </x:c>
      <x:c r="H574" s="12" t="str">
        <x:v>SELECTED_FAMILY_CODE</x:v>
      </x:c>
      <x:c r="I574" s="12" t="str">
        <x:v>Не выпущено</x:v>
      </x:c>
      <x:c r="J574" s="33" t="str">
        <x:v>resistance_ohm: 75000.0;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74" s="33" t="str">
        <x:v>https://www.vishay.com/docs/20035/dcrcwe3.pdf</x:v>
      </x:c>
      <x:c r="L574" s="33" t="str"/>
    </x:row>
    <x:row r="575" ht="38" customHeight="1">
      <x:c r="A575" s="2" t="str">
        <x:v>R321</x:v>
      </x:c>
      <x:c r="B575" s="2" t="str">
        <x:v>0.01</x:v>
      </x:c>
      <x:c r="C575" s="2" t="str">
        <x:v>Да</x:v>
      </x:c>
      <x:c r="D575" s="8" t="str">
        <x:v>WSLP1206R0100FEA</x:v>
      </x:c>
      <x:c r="E575" s="2" t="str">
        <x:v>Vishay</x:v>
      </x:c>
      <x:c r="F575" s="8" t="str">
        <x:v>1206</x:v>
      </x:c>
      <x:c r="G575" s="2" t="str">
        <x:v>SURFACE_MOUNT</x:v>
      </x:c>
      <x:c r="H575" s="2" t="str">
        <x:v>SELECTED_CONDITIONAL</x:v>
      </x:c>
      <x:c r="I575" s="2" t="str">
        <x:v>Не выпущено</x:v>
      </x:c>
      <x:c r="J575" s="31" t="str">
        <x:v>resistance_ohm: 0.01; tolerance_pct: 1; tcr_ppm_c: 75; power_w: 1; power_reference_temperature_c: 70; temperature_min_c: -65; temperature_max_c: 170; technology: metal strip; terminals: 2; pcb_sense_pads: 4; pulse_rating: Use manufacturer pulse-duration curve; repetitive B58 current/energy not qualified; derating: Use manufacturer power versus ambient/terminal temperature curve; PCB thermal and fault pulse envelope not qualified.</x:v>
      </x:c>
      <x:c r="K575" s="31" t="str">
        <x:v>https://www.vishay.com/docs/30122/wslp.pdf; https://www.digikey.com/en/product-highlight/v/vishay-dale/wslp1206-very-high-power-1-w-surface-mount-power-metal-strip-resistor</x:v>
      </x:c>
      <x:c r="L575" s="31" t="str">
        <x:v>Original C309628 thick-film1500ppm/K rejected for precision current sensing; proposed metal strip needs repetitive pulse, hot derating and Kelvin pad review.</x:v>
      </x:c>
    </x:row>
    <x:row r="576" ht="38" customHeight="1">
      <x:c r="A576" s="12" t="str">
        <x:v>R322</x:v>
      </x:c>
      <x:c r="B576" s="12" t="str">
        <x:v>DNP</x:v>
      </x:c>
      <x:c r="C576" s="12" t="str">
        <x:v>DNP</x:v>
      </x:c>
      <x:c r="D576" s="11" t="str"/>
      <x:c r="E576" s="12" t="str"/>
      <x:c r="F576" s="11" t="str">
        <x:v>Power8GDI_GDI:REF_R80</x:v>
      </x:c>
      <x:c r="G576" s="12" t="str">
        <x:v>SURFACE_MOUNT</x:v>
      </x:c>
      <x:c r="H576" s="12" t="str">
        <x:v>Исключено из закупки</x:v>
      </x:c>
      <x:c r="I576" s="12" t="str">
        <x:v>Нет</x:v>
      </x:c>
      <x:c r="J576" s="33" t="str"/>
      <x:c r="K576" s="33" t="str"/>
      <x:c r="L576" s="33" t="str"/>
    </x:row>
    <x:row r="577" ht="38" customHeight="1">
      <x:c r="A577" s="2" t="str">
        <x:v>R323</x:v>
      </x:c>
      <x:c r="B577" s="2" t="str">
        <x:v>DNP</x:v>
      </x:c>
      <x:c r="C577" s="2" t="str">
        <x:v>DNP</x:v>
      </x:c>
      <x:c r="D577" s="8" t="str"/>
      <x:c r="E577" s="2" t="str"/>
      <x:c r="F577" s="8" t="str">
        <x:v>Power8GDI_GDI:REF_R81</x:v>
      </x:c>
      <x:c r="G577" s="2" t="str">
        <x:v>SURFACE_MOUNT</x:v>
      </x:c>
      <x:c r="H577" s="2" t="str">
        <x:v>Исключено из закупки</x:v>
      </x:c>
      <x:c r="I577" s="2" t="str">
        <x:v>Нет</x:v>
      </x:c>
      <x:c r="J577" s="31" t="str"/>
      <x:c r="K577" s="31" t="str"/>
      <x:c r="L577" s="31" t="str"/>
    </x:row>
    <x:row r="578" ht="38" customHeight="1">
      <x:c r="A578" s="12" t="str">
        <x:v>R324</x:v>
      </x:c>
      <x:c r="B578" s="12" t="str">
        <x:v>DNP</x:v>
      </x:c>
      <x:c r="C578" s="12" t="str">
        <x:v>DNP</x:v>
      </x:c>
      <x:c r="D578" s="11" t="str"/>
      <x:c r="E578" s="12" t="str"/>
      <x:c r="F578" s="11" t="str">
        <x:v>Power8GDI_GDI:REF_R82</x:v>
      </x:c>
      <x:c r="G578" s="12" t="str">
        <x:v>SURFACE_MOUNT</x:v>
      </x:c>
      <x:c r="H578" s="12" t="str">
        <x:v>Исключено из закупки</x:v>
      </x:c>
      <x:c r="I578" s="12" t="str">
        <x:v>Нет</x:v>
      </x:c>
      <x:c r="J578" s="33" t="str"/>
      <x:c r="K578" s="33" t="str"/>
      <x:c r="L578" s="33" t="str"/>
    </x:row>
    <x:row r="579" ht="38" customHeight="1">
      <x:c r="A579" s="2" t="str">
        <x:v>R325</x:v>
      </x:c>
      <x:c r="B579" s="2" t="str">
        <x:v>DNP</x:v>
      </x:c>
      <x:c r="C579" s="2" t="str">
        <x:v>DNP</x:v>
      </x:c>
      <x:c r="D579" s="8" t="str"/>
      <x:c r="E579" s="2" t="str"/>
      <x:c r="F579" s="8" t="str">
        <x:v>Power8GDI_GDI:REF_R83</x:v>
      </x:c>
      <x:c r="G579" s="2" t="str">
        <x:v>SURFACE_MOUNT</x:v>
      </x:c>
      <x:c r="H579" s="2" t="str">
        <x:v>Исключено из закупки</x:v>
      </x:c>
      <x:c r="I579" s="2" t="str">
        <x:v>Нет</x:v>
      </x:c>
      <x:c r="J579" s="31" t="str"/>
      <x:c r="K579" s="31" t="str"/>
      <x:c r="L579" s="31" t="str"/>
    </x:row>
    <x:row r="580" ht="38" customHeight="1">
      <x:c r="A580" s="12" t="str">
        <x:v>R326</x:v>
      </x:c>
      <x:c r="B580" s="12" t="str">
        <x:v>10</x:v>
      </x:c>
      <x:c r="C580" s="12" t="str">
        <x:v>Да</x:v>
      </x:c>
      <x:c r="D580" s="11" t="str">
        <x:v>CRCW060310R0FKEA</x:v>
      </x:c>
      <x:c r="E580" s="12" t="str">
        <x:v>Vishay</x:v>
      </x:c>
      <x:c r="F580" s="11" t="str">
        <x:v>0603</x:v>
      </x:c>
      <x:c r="G580" s="12" t="str">
        <x:v>SURFACE_MOUNT</x:v>
      </x:c>
      <x:c r="H580" s="12" t="str">
        <x:v>SELECTED_FAMILY_CODE</x:v>
      </x:c>
      <x:c r="I580" s="12" t="str">
        <x:v>Не выпущено</x:v>
      </x:c>
      <x:c r="J580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80" s="33" t="str">
        <x:v>https://www.vishay.com/docs/20035/dcrcwe3.pdf</x:v>
      </x:c>
      <x:c r="L580" s="33" t="str"/>
    </x:row>
    <x:row r="581" ht="38" customHeight="1">
      <x:c r="A581" s="2" t="str">
        <x:v>R327</x:v>
      </x:c>
      <x:c r="B581" s="2" t="str">
        <x:v>1K</x:v>
      </x:c>
      <x:c r="C581" s="2" t="str">
        <x:v>Да</x:v>
      </x:c>
      <x:c r="D581" s="8" t="str">
        <x:v>CRCW06031K00FKEA</x:v>
      </x:c>
      <x:c r="E581" s="2" t="str">
        <x:v>Vishay</x:v>
      </x:c>
      <x:c r="F581" s="8" t="str">
        <x:v>0603</x:v>
      </x:c>
      <x:c r="G581" s="2" t="str">
        <x:v>SURFACE_MOUNT</x:v>
      </x:c>
      <x:c r="H581" s="2" t="str">
        <x:v>SELECTED_FAMILY_CODE</x:v>
      </x:c>
      <x:c r="I581" s="2" t="str">
        <x:v>Не выпущено</x:v>
      </x:c>
      <x:c r="J581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81" s="31" t="str">
        <x:v>https://www.vishay.com/docs/20035/dcrcwe3.pdf</x:v>
      </x:c>
      <x:c r="L581" s="31" t="str"/>
    </x:row>
    <x:row r="582" ht="38" customHeight="1">
      <x:c r="A582" s="12" t="str">
        <x:v>R328</x:v>
      </x:c>
      <x:c r="B582" s="12" t="str">
        <x:v>1K</x:v>
      </x:c>
      <x:c r="C582" s="12" t="str">
        <x:v>Да</x:v>
      </x:c>
      <x:c r="D582" s="11" t="str">
        <x:v>CRCW06031K00FKEA</x:v>
      </x:c>
      <x:c r="E582" s="12" t="str">
        <x:v>Vishay</x:v>
      </x:c>
      <x:c r="F582" s="11" t="str">
        <x:v>0603</x:v>
      </x:c>
      <x:c r="G582" s="12" t="str">
        <x:v>SURFACE_MOUNT</x:v>
      </x:c>
      <x:c r="H582" s="12" t="str">
        <x:v>SELECTED_FAMILY_CODE</x:v>
      </x:c>
      <x:c r="I582" s="12" t="str">
        <x:v>Не выпущено</x:v>
      </x:c>
      <x:c r="J582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82" s="33" t="str">
        <x:v>https://www.vishay.com/docs/20035/dcrcwe3.pdf</x:v>
      </x:c>
      <x:c r="L582" s="33" t="str"/>
    </x:row>
    <x:row r="583" ht="38" customHeight="1">
      <x:c r="A583" s="2" t="str">
        <x:v>R329</x:v>
      </x:c>
      <x:c r="B583" s="2" t="str">
        <x:v>1K</x:v>
      </x:c>
      <x:c r="C583" s="2" t="str">
        <x:v>Да</x:v>
      </x:c>
      <x:c r="D583" s="8" t="str">
        <x:v>CRCW06031K00FKEA</x:v>
      </x:c>
      <x:c r="E583" s="2" t="str">
        <x:v>Vishay</x:v>
      </x:c>
      <x:c r="F583" s="8" t="str">
        <x:v>0603</x:v>
      </x:c>
      <x:c r="G583" s="2" t="str">
        <x:v>SURFACE_MOUNT</x:v>
      </x:c>
      <x:c r="H583" s="2" t="str">
        <x:v>SELECTED_FAMILY_CODE</x:v>
      </x:c>
      <x:c r="I583" s="2" t="str">
        <x:v>Не выпущено</x:v>
      </x:c>
      <x:c r="J583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83" s="31" t="str">
        <x:v>https://www.vishay.com/docs/20035/dcrcwe3.pdf</x:v>
      </x:c>
      <x:c r="L583" s="31" t="str"/>
    </x:row>
    <x:row r="584" ht="38" customHeight="1">
      <x:c r="A584" s="12" t="str">
        <x:v>R330</x:v>
      </x:c>
      <x:c r="B584" s="12" t="str">
        <x:v>2K</x:v>
      </x:c>
      <x:c r="C584" s="12" t="str">
        <x:v>Да</x:v>
      </x:c>
      <x:c r="D584" s="11" t="str">
        <x:v>CRCW12062K00FKEA</x:v>
      </x:c>
      <x:c r="E584" s="12" t="str">
        <x:v>Vishay</x:v>
      </x:c>
      <x:c r="F584" s="11" t="str">
        <x:v>1206</x:v>
      </x:c>
      <x:c r="G584" s="12" t="str">
        <x:v>SURFACE_MOUNT</x:v>
      </x:c>
      <x:c r="H584" s="12" t="str">
        <x:v>SELECTED_FAMILY_CODE</x:v>
      </x:c>
      <x:c r="I584" s="12" t="str">
        <x:v>Не выпущено</x:v>
      </x:c>
      <x:c r="J584" s="33" t="str">
        <x:v>resistance_ohm: 2000.0; tolerance_pct: 1; tcr_ppm_c: 100; power_w: 0.25; working_voltage_v: 200;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84" s="33" t="str">
        <x:v>https://www.vishay.com/docs/20035/dcrcwe3.pdf</x:v>
      </x:c>
      <x:c r="L584" s="33" t="str"/>
    </x:row>
    <x:row r="585" ht="38" customHeight="1">
      <x:c r="A585" s="2" t="str">
        <x:v>R331</x:v>
      </x:c>
      <x:c r="B585" s="2" t="str">
        <x:v>2K</x:v>
      </x:c>
      <x:c r="C585" s="2" t="str">
        <x:v>Да</x:v>
      </x:c>
      <x:c r="D585" s="8" t="str">
        <x:v>CRCW12062K00FKEA</x:v>
      </x:c>
      <x:c r="E585" s="2" t="str">
        <x:v>Vishay</x:v>
      </x:c>
      <x:c r="F585" s="8" t="str">
        <x:v>1206</x:v>
      </x:c>
      <x:c r="G585" s="2" t="str">
        <x:v>SURFACE_MOUNT</x:v>
      </x:c>
      <x:c r="H585" s="2" t="str">
        <x:v>SELECTED_FAMILY_CODE</x:v>
      </x:c>
      <x:c r="I585" s="2" t="str">
        <x:v>Не выпущено</x:v>
      </x:c>
      <x:c r="J585" s="31" t="str">
        <x:v>resistance_ohm: 2000.0; tolerance_pct: 1; tcr_ppm_c: 100; power_w: 0.25; working_voltage_v: 200;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85" s="31" t="str">
        <x:v>https://www.vishay.com/docs/20035/dcrcwe3.pdf</x:v>
      </x:c>
      <x:c r="L585" s="31" t="str"/>
    </x:row>
    <x:row r="586" ht="38" customHeight="1">
      <x:c r="A586" s="12" t="str">
        <x:v>R332</x:v>
      </x:c>
      <x:c r="B586" s="12" t="str">
        <x:v>56k</x:v>
      </x:c>
      <x:c r="C586" s="12" t="str">
        <x:v>Да</x:v>
      </x:c>
      <x:c r="D586" s="11" t="str">
        <x:v>CRCW080556K0FKEA</x:v>
      </x:c>
      <x:c r="E586" s="12" t="str">
        <x:v>Vishay</x:v>
      </x:c>
      <x:c r="F586" s="11" t="str">
        <x:v>0805</x:v>
      </x:c>
      <x:c r="G586" s="12" t="str">
        <x:v>SURFACE_MOUNT</x:v>
      </x:c>
      <x:c r="H586" s="12" t="str">
        <x:v>SELECTED_FAMILY_CODE</x:v>
      </x:c>
      <x:c r="I586" s="12" t="str">
        <x:v>Не выпущено</x:v>
      </x:c>
      <x:c r="J586" s="33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86" s="33" t="str">
        <x:v>https://www.vishay.com/docs/20035/dcrcwe3.pdf</x:v>
      </x:c>
      <x:c r="L586" s="33" t="str"/>
    </x:row>
    <x:row r="587" ht="38" customHeight="1">
      <x:c r="A587" s="2" t="str">
        <x:v>R333</x:v>
      </x:c>
      <x:c r="B587" s="2" t="str">
        <x:v>56k</x:v>
      </x:c>
      <x:c r="C587" s="2" t="str">
        <x:v>Да</x:v>
      </x:c>
      <x:c r="D587" s="8" t="str">
        <x:v>CRCW080556K0FKEA</x:v>
      </x:c>
      <x:c r="E587" s="2" t="str">
        <x:v>Vishay</x:v>
      </x:c>
      <x:c r="F587" s="8" t="str">
        <x:v>0805</x:v>
      </x:c>
      <x:c r="G587" s="2" t="str">
        <x:v>SURFACE_MOUNT</x:v>
      </x:c>
      <x:c r="H587" s="2" t="str">
        <x:v>SELECTED_FAMILY_CODE</x:v>
      </x:c>
      <x:c r="I587" s="2" t="str">
        <x:v>Не выпущено</x:v>
      </x:c>
      <x:c r="J587" s="31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87" s="31" t="str">
        <x:v>https://www.vishay.com/docs/20035/dcrcwe3.pdf</x:v>
      </x:c>
      <x:c r="L587" s="31" t="str"/>
    </x:row>
    <x:row r="588" ht="38" customHeight="1">
      <x:c r="A588" s="12" t="str">
        <x:v>R334</x:v>
      </x:c>
      <x:c r="B588" s="12" t="str">
        <x:v>56k</x:v>
      </x:c>
      <x:c r="C588" s="12" t="str">
        <x:v>Да</x:v>
      </x:c>
      <x:c r="D588" s="11" t="str">
        <x:v>CRCW080556K0FKEA</x:v>
      </x:c>
      <x:c r="E588" s="12" t="str">
        <x:v>Vishay</x:v>
      </x:c>
      <x:c r="F588" s="11" t="str">
        <x:v>0805</x:v>
      </x:c>
      <x:c r="G588" s="12" t="str">
        <x:v>SURFACE_MOUNT</x:v>
      </x:c>
      <x:c r="H588" s="12" t="str">
        <x:v>SELECTED_FAMILY_CODE</x:v>
      </x:c>
      <x:c r="I588" s="12" t="str">
        <x:v>Не выпущено</x:v>
      </x:c>
      <x:c r="J588" s="33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88" s="33" t="str">
        <x:v>https://www.vishay.com/docs/20035/dcrcwe3.pdf</x:v>
      </x:c>
      <x:c r="L588" s="33" t="str"/>
    </x:row>
    <x:row r="589" ht="38" customHeight="1">
      <x:c r="A589" s="2" t="str">
        <x:v>R335</x:v>
      </x:c>
      <x:c r="B589" s="2" t="str">
        <x:v>56k</x:v>
      </x:c>
      <x:c r="C589" s="2" t="str">
        <x:v>Да</x:v>
      </x:c>
      <x:c r="D589" s="8" t="str">
        <x:v>CRCW080556K0FKEA</x:v>
      </x:c>
      <x:c r="E589" s="2" t="str">
        <x:v>Vishay</x:v>
      </x:c>
      <x:c r="F589" s="8" t="str">
        <x:v>0805</x:v>
      </x:c>
      <x:c r="G589" s="2" t="str">
        <x:v>SURFACE_MOUNT</x:v>
      </x:c>
      <x:c r="H589" s="2" t="str">
        <x:v>SELECTED_FAMILY_CODE</x:v>
      </x:c>
      <x:c r="I589" s="2" t="str">
        <x:v>Не выпущено</x:v>
      </x:c>
      <x:c r="J589" s="31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89" s="31" t="str">
        <x:v>https://www.vishay.com/docs/20035/dcrcwe3.pdf</x:v>
      </x:c>
      <x:c r="L589" s="31" t="str"/>
    </x:row>
    <x:row r="590" ht="38" customHeight="1">
      <x:c r="A590" s="12" t="str">
        <x:v>R336</x:v>
      </x:c>
      <x:c r="B590" s="12" t="str">
        <x:v>56k</x:v>
      </x:c>
      <x:c r="C590" s="12" t="str">
        <x:v>Да</x:v>
      </x:c>
      <x:c r="D590" s="11" t="str">
        <x:v>CRCW080556K0FKEA</x:v>
      </x:c>
      <x:c r="E590" s="12" t="str">
        <x:v>Vishay</x:v>
      </x:c>
      <x:c r="F590" s="11" t="str">
        <x:v>0805</x:v>
      </x:c>
      <x:c r="G590" s="12" t="str">
        <x:v>SURFACE_MOUNT</x:v>
      </x:c>
      <x:c r="H590" s="12" t="str">
        <x:v>SELECTED_FAMILY_CODE</x:v>
      </x:c>
      <x:c r="I590" s="12" t="str">
        <x:v>Не выпущено</x:v>
      </x:c>
      <x:c r="J590" s="33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90" s="33" t="str">
        <x:v>https://www.vishay.com/docs/20035/dcrcwe3.pdf</x:v>
      </x:c>
      <x:c r="L590" s="33" t="str"/>
    </x:row>
    <x:row r="591" ht="38" customHeight="1">
      <x:c r="A591" s="2" t="str">
        <x:v>R337</x:v>
      </x:c>
      <x:c r="B591" s="2" t="str">
        <x:v>56k</x:v>
      </x:c>
      <x:c r="C591" s="2" t="str">
        <x:v>Да</x:v>
      </x:c>
      <x:c r="D591" s="8" t="str">
        <x:v>CRCW080556K0FKEA</x:v>
      </x:c>
      <x:c r="E591" s="2" t="str">
        <x:v>Vishay</x:v>
      </x:c>
      <x:c r="F591" s="8" t="str">
        <x:v>0805</x:v>
      </x:c>
      <x:c r="G591" s="2" t="str">
        <x:v>SURFACE_MOUNT</x:v>
      </x:c>
      <x:c r="H591" s="2" t="str">
        <x:v>SELECTED_FAMILY_CODE</x:v>
      </x:c>
      <x:c r="I591" s="2" t="str">
        <x:v>Не выпущено</x:v>
      </x:c>
      <x:c r="J591" s="31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91" s="31" t="str">
        <x:v>https://www.vishay.com/docs/20035/dcrcwe3.pdf</x:v>
      </x:c>
      <x:c r="L591" s="31" t="str"/>
    </x:row>
    <x:row r="592" ht="38" customHeight="1">
      <x:c r="A592" s="12" t="str">
        <x:v>R338</x:v>
      </x:c>
      <x:c r="B592" s="12" t="str">
        <x:v>56k</x:v>
      </x:c>
      <x:c r="C592" s="12" t="str">
        <x:v>Да</x:v>
      </x:c>
      <x:c r="D592" s="11" t="str">
        <x:v>CRCW080556K0FKEA</x:v>
      </x:c>
      <x:c r="E592" s="12" t="str">
        <x:v>Vishay</x:v>
      </x:c>
      <x:c r="F592" s="11" t="str">
        <x:v>0805</x:v>
      </x:c>
      <x:c r="G592" s="12" t="str">
        <x:v>SURFACE_MOUNT</x:v>
      </x:c>
      <x:c r="H592" s="12" t="str">
        <x:v>SELECTED_FAMILY_CODE</x:v>
      </x:c>
      <x:c r="I592" s="12" t="str">
        <x:v>Не выпущено</x:v>
      </x:c>
      <x:c r="J592" s="33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92" s="33" t="str">
        <x:v>https://www.vishay.com/docs/20035/dcrcwe3.pdf</x:v>
      </x:c>
      <x:c r="L592" s="33" t="str"/>
    </x:row>
    <x:row r="593" ht="38" customHeight="1">
      <x:c r="A593" s="2" t="str">
        <x:v>R339</x:v>
      </x:c>
      <x:c r="B593" s="2" t="str">
        <x:v>56k</x:v>
      </x:c>
      <x:c r="C593" s="2" t="str">
        <x:v>Да</x:v>
      </x:c>
      <x:c r="D593" s="8" t="str">
        <x:v>CRCW080556K0FKEA</x:v>
      </x:c>
      <x:c r="E593" s="2" t="str">
        <x:v>Vishay</x:v>
      </x:c>
      <x:c r="F593" s="8" t="str">
        <x:v>0805</x:v>
      </x:c>
      <x:c r="G593" s="2" t="str">
        <x:v>SURFACE_MOUNT</x:v>
      </x:c>
      <x:c r="H593" s="2" t="str">
        <x:v>SELECTED_FAMILY_CODE</x:v>
      </x:c>
      <x:c r="I593" s="2" t="str">
        <x:v>Не выпущено</x:v>
      </x:c>
      <x:c r="J593" s="31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93" s="31" t="str">
        <x:v>https://www.vishay.com/docs/20035/dcrcwe3.pdf</x:v>
      </x:c>
      <x:c r="L593" s="31" t="str"/>
    </x:row>
    <x:row r="594" ht="38" customHeight="1">
      <x:c r="A594" s="12" t="str">
        <x:v>R340</x:v>
      </x:c>
      <x:c r="B594" s="12" t="str">
        <x:v>56k</x:v>
      </x:c>
      <x:c r="C594" s="12" t="str">
        <x:v>Да</x:v>
      </x:c>
      <x:c r="D594" s="11" t="str">
        <x:v>CRCW080556K0FKEA</x:v>
      </x:c>
      <x:c r="E594" s="12" t="str">
        <x:v>Vishay</x:v>
      </x:c>
      <x:c r="F594" s="11" t="str">
        <x:v>0805</x:v>
      </x:c>
      <x:c r="G594" s="12" t="str">
        <x:v>SURFACE_MOUNT</x:v>
      </x:c>
      <x:c r="H594" s="12" t="str">
        <x:v>SELECTED_FAMILY_CODE</x:v>
      </x:c>
      <x:c r="I594" s="12" t="str">
        <x:v>Не выпущено</x:v>
      </x:c>
      <x:c r="J594" s="33" t="str">
        <x:v>resistance_ohm: 56000.0; tolerance_pct: 1; tcr_ppm_c: 100; power_w: 0.125; working_voltage_v: 150;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94" s="33" t="str">
        <x:v>https://www.vishay.com/docs/20035/dcrcwe3.pdf</x:v>
      </x:c>
      <x:c r="L594" s="33" t="str"/>
    </x:row>
    <x:row r="595" ht="38" customHeight="1">
      <x:c r="A595" s="2" t="str">
        <x:v>R397</x:v>
      </x:c>
      <x:c r="B595" s="2" t="str">
        <x:v>10k 1%</x:v>
      </x:c>
      <x:c r="C595" s="2" t="str">
        <x:v>Да</x:v>
      </x:c>
      <x:c r="D595" s="8" t="str">
        <x:v>CRCW060310K0FKEA</x:v>
      </x:c>
      <x:c r="E595" s="2" t="str">
        <x:v>Vishay</x:v>
      </x:c>
      <x:c r="F595" s="8" t="str">
        <x:v>0603</x:v>
      </x:c>
      <x:c r="G595" s="2" t="str">
        <x:v>SURFACE_MOUNT</x:v>
      </x:c>
      <x:c r="H595" s="2" t="str">
        <x:v>SELECTED_FAMILY_CODE</x:v>
      </x:c>
      <x:c r="I595" s="2" t="str">
        <x:v>Не выпущено</x:v>
      </x:c>
      <x:c r="J59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95" s="31" t="str">
        <x:v>https://www.vishay.com/docs/20035/dcrcwe3.pdf</x:v>
      </x:c>
      <x:c r="L595" s="31" t="str"/>
    </x:row>
    <x:row r="596" ht="38" customHeight="1">
      <x:c r="A596" s="12" t="str">
        <x:v>R398</x:v>
      </x:c>
      <x:c r="B596" s="12" t="str">
        <x:v>910 1% minimum load</x:v>
      </x:c>
      <x:c r="C596" s="12" t="str">
        <x:v>Да</x:v>
      </x:c>
      <x:c r="D596" s="11" t="str">
        <x:v>CRCW0603910RFKEA</x:v>
      </x:c>
      <x:c r="E596" s="12" t="str">
        <x:v>Vishay</x:v>
      </x:c>
      <x:c r="F596" s="11" t="str">
        <x:v>0603</x:v>
      </x:c>
      <x:c r="G596" s="12" t="str">
        <x:v>SURFACE_MOUNT</x:v>
      </x:c>
      <x:c r="H596" s="12" t="str">
        <x:v>SELECTED_FAMILY_CODE</x:v>
      </x:c>
      <x:c r="I596" s="12" t="str">
        <x:v>Не выпущено</x:v>
      </x:c>
      <x:c r="J596" s="33" t="str">
        <x:v>resistance_ohm: 910.0;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596" s="33" t="str">
        <x:v>https://www.vishay.com/docs/20035/dcrcwe3.pdf</x:v>
      </x:c>
      <x:c r="L596" s="33" t="str"/>
    </x:row>
    <x:row r="597" ht="38" customHeight="1">
      <x:c r="A597" s="2" t="str">
        <x:v>R399</x:v>
      </x:c>
      <x:c r="B597" s="2" t="str">
        <x:v>DNP_ENABLE_BOUNDARY</x:v>
      </x:c>
      <x:c r="C597" s="2" t="str">
        <x:v>DNP</x:v>
      </x:c>
      <x:c r="D597" s="8" t="str"/>
      <x:c r="E597" s="2" t="str"/>
      <x:c r="F597" s="8" t="str">
        <x:v>Power8GDI_GDI:REF_R123</x:v>
      </x:c>
      <x:c r="G597" s="2" t="str">
        <x:v>SURFACE_MOUNT</x:v>
      </x:c>
      <x:c r="H597" s="2" t="str">
        <x:v>Исключено из закупки</x:v>
      </x:c>
      <x:c r="I597" s="2" t="str">
        <x:v>Нет</x:v>
      </x:c>
      <x:c r="J597" s="31" t="str"/>
      <x:c r="K597" s="31" t="str"/>
      <x:c r="L597" s="31" t="str"/>
    </x:row>
    <x:row r="598" ht="38" customHeight="1">
      <x:c r="A598" s="12" t="str">
        <x:v>R700</x:v>
      </x:c>
      <x:c r="B598" s="12" t="str">
        <x:v>100k 0.1%</x:v>
      </x:c>
      <x:c r="C598" s="12" t="str">
        <x:v>Да</x:v>
      </x:c>
      <x:c r="D598" s="11" t="str">
        <x:v>RNCF0603BTE100K</x:v>
      </x:c>
      <x:c r="E598" s="12" t="str">
        <x:v>Stackpole Electronics</x:v>
      </x:c>
      <x:c r="F598" s="11" t="str">
        <x:v>0603</x:v>
      </x:c>
      <x:c r="G598" s="12" t="str">
        <x:v>SURFACE_MOUNT</x:v>
      </x:c>
      <x:c r="H598" s="12" t="str">
        <x:v>SELECTED_CATALOG_ITEM</x:v>
      </x:c>
      <x:c r="I598" s="12" t="str">
        <x:v>Не выпущено</x:v>
      </x:c>
      <x:c r="J598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598" s="33" t="str">
        <x:v>https://www.digikey.com/en/products/detail/stackpole-electronics-inc/RNCF0603BTE100K/16890122; https://www.seielect.com/Catalog/SEI-RNCF.pdf</x:v>
      </x:c>
      <x:c r="L598" s="33" t="str"/>
    </x:row>
    <x:row r="599" ht="38" customHeight="1">
      <x:c r="A599" s="2" t="str">
        <x:v>R701</x:v>
      </x:c>
      <x:c r="B599" s="2" t="str">
        <x:v>100k 0.1%</x:v>
      </x:c>
      <x:c r="C599" s="2" t="str">
        <x:v>Да</x:v>
      </x:c>
      <x:c r="D599" s="8" t="str">
        <x:v>RNCF0603BTE100K</x:v>
      </x:c>
      <x:c r="E599" s="2" t="str">
        <x:v>Stackpole Electronics</x:v>
      </x:c>
      <x:c r="F599" s="8" t="str">
        <x:v>0603</x:v>
      </x:c>
      <x:c r="G599" s="2" t="str">
        <x:v>SURFACE_MOUNT</x:v>
      </x:c>
      <x:c r="H599" s="2" t="str">
        <x:v>SELECTED_CATALOG_ITEM</x:v>
      </x:c>
      <x:c r="I599" s="2" t="str">
        <x:v>Не выпущено</x:v>
      </x:c>
      <x:c r="J599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599" s="31" t="str">
        <x:v>https://www.digikey.com/en/products/detail/stackpole-electronics-inc/RNCF0603BTE100K/16890122; https://www.seielect.com/Catalog/SEI-RNCF.pdf</x:v>
      </x:c>
      <x:c r="L599" s="31" t="str"/>
    </x:row>
    <x:row r="600" ht="38" customHeight="1">
      <x:c r="A600" s="12" t="str">
        <x:v>R702</x:v>
      </x:c>
      <x:c r="B600" s="12" t="str">
        <x:v>1k</x:v>
      </x:c>
      <x:c r="C600" s="12" t="str">
        <x:v>Да</x:v>
      </x:c>
      <x:c r="D600" s="11" t="str">
        <x:v>CRCW06031K00FKEA</x:v>
      </x:c>
      <x:c r="E600" s="12" t="str">
        <x:v>Vishay</x:v>
      </x:c>
      <x:c r="F600" s="11" t="str">
        <x:v>0603</x:v>
      </x:c>
      <x:c r="G600" s="12" t="str">
        <x:v>SURFACE_MOUNT</x:v>
      </x:c>
      <x:c r="H600" s="12" t="str">
        <x:v>SELECTED_FAMILY_CODE</x:v>
      </x:c>
      <x:c r="I600" s="12" t="str">
        <x:v>Не выпущено</x:v>
      </x:c>
      <x:c r="J600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00" s="33" t="str">
        <x:v>https://www.vishay.com/docs/20035/dcrcwe3.pdf</x:v>
      </x:c>
      <x:c r="L600" s="33" t="str"/>
    </x:row>
    <x:row r="601" ht="38" customHeight="1">
      <x:c r="A601" s="2" t="str">
        <x:v>R703</x:v>
      </x:c>
      <x:c r="B601" s="2" t="str">
        <x:v>100k 0.1%</x:v>
      </x:c>
      <x:c r="C601" s="2" t="str">
        <x:v>Да</x:v>
      </x:c>
      <x:c r="D601" s="8" t="str">
        <x:v>RNCF0603BTE100K</x:v>
      </x:c>
      <x:c r="E601" s="2" t="str">
        <x:v>Stackpole Electronics</x:v>
      </x:c>
      <x:c r="F601" s="8" t="str">
        <x:v>0603</x:v>
      </x:c>
      <x:c r="G601" s="2" t="str">
        <x:v>SURFACE_MOUNT</x:v>
      </x:c>
      <x:c r="H601" s="2" t="str">
        <x:v>SELECTED_CATALOG_ITEM</x:v>
      </x:c>
      <x:c r="I601" s="2" t="str">
        <x:v>Не выпущено</x:v>
      </x:c>
      <x:c r="J601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01" s="31" t="str">
        <x:v>https://www.digikey.com/en/products/detail/stackpole-electronics-inc/RNCF0603BTE100K/16890122; https://www.seielect.com/Catalog/SEI-RNCF.pdf</x:v>
      </x:c>
      <x:c r="L601" s="31" t="str"/>
    </x:row>
    <x:row r="602" ht="38" customHeight="1">
      <x:c r="A602" s="12" t="str">
        <x:v>R704</x:v>
      </x:c>
      <x:c r="B602" s="12" t="str">
        <x:v>100k 0.1%</x:v>
      </x:c>
      <x:c r="C602" s="12" t="str">
        <x:v>Да</x:v>
      </x:c>
      <x:c r="D602" s="11" t="str">
        <x:v>RNCF0603BTE100K</x:v>
      </x:c>
      <x:c r="E602" s="12" t="str">
        <x:v>Stackpole Electronics</x:v>
      </x:c>
      <x:c r="F602" s="11" t="str">
        <x:v>0603</x:v>
      </x:c>
      <x:c r="G602" s="12" t="str">
        <x:v>SURFACE_MOUNT</x:v>
      </x:c>
      <x:c r="H602" s="12" t="str">
        <x:v>SELECTED_CATALOG_ITEM</x:v>
      </x:c>
      <x:c r="I602" s="12" t="str">
        <x:v>Не выпущено</x:v>
      </x:c>
      <x:c r="J602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02" s="33" t="str">
        <x:v>https://www.digikey.com/en/products/detail/stackpole-electronics-inc/RNCF0603BTE100K/16890122; https://www.seielect.com/Catalog/SEI-RNCF.pdf</x:v>
      </x:c>
      <x:c r="L602" s="33" t="str"/>
    </x:row>
    <x:row r="603" ht="38" customHeight="1">
      <x:c r="A603" s="2" t="str">
        <x:v>R705</x:v>
      </x:c>
      <x:c r="B603" s="2" t="str">
        <x:v>1k</x:v>
      </x:c>
      <x:c r="C603" s="2" t="str">
        <x:v>Да</x:v>
      </x:c>
      <x:c r="D603" s="8" t="str">
        <x:v>CRCW06031K00FKEA</x:v>
      </x:c>
      <x:c r="E603" s="2" t="str">
        <x:v>Vishay</x:v>
      </x:c>
      <x:c r="F603" s="8" t="str">
        <x:v>0603</x:v>
      </x:c>
      <x:c r="G603" s="2" t="str">
        <x:v>SURFACE_MOUNT</x:v>
      </x:c>
      <x:c r="H603" s="2" t="str">
        <x:v>SELECTED_FAMILY_CODE</x:v>
      </x:c>
      <x:c r="I603" s="2" t="str">
        <x:v>Не выпущено</x:v>
      </x:c>
      <x:c r="J603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03" s="31" t="str">
        <x:v>https://www.vishay.com/docs/20035/dcrcwe3.pdf</x:v>
      </x:c>
      <x:c r="L603" s="31" t="str"/>
    </x:row>
    <x:row r="604" ht="38" customHeight="1">
      <x:c r="A604" s="12" t="str">
        <x:v>R706</x:v>
      </x:c>
      <x:c r="B604" s="12" t="str">
        <x:v>100k 0.1%</x:v>
      </x:c>
      <x:c r="C604" s="12" t="str">
        <x:v>Да</x:v>
      </x:c>
      <x:c r="D604" s="11" t="str">
        <x:v>RNCF0603BTE100K</x:v>
      </x:c>
      <x:c r="E604" s="12" t="str">
        <x:v>Stackpole Electronics</x:v>
      </x:c>
      <x:c r="F604" s="11" t="str">
        <x:v>0603</x:v>
      </x:c>
      <x:c r="G604" s="12" t="str">
        <x:v>SURFACE_MOUNT</x:v>
      </x:c>
      <x:c r="H604" s="12" t="str">
        <x:v>SELECTED_CATALOG_ITEM</x:v>
      </x:c>
      <x:c r="I604" s="12" t="str">
        <x:v>Не выпущено</x:v>
      </x:c>
      <x:c r="J604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04" s="33" t="str">
        <x:v>https://www.digikey.com/en/products/detail/stackpole-electronics-inc/RNCF0603BTE100K/16890122; https://www.seielect.com/Catalog/SEI-RNCF.pdf</x:v>
      </x:c>
      <x:c r="L604" s="33" t="str"/>
    </x:row>
    <x:row r="605" ht="38" customHeight="1">
      <x:c r="A605" s="2" t="str">
        <x:v>R707</x:v>
      </x:c>
      <x:c r="B605" s="2" t="str">
        <x:v>100k 0.1%</x:v>
      </x:c>
      <x:c r="C605" s="2" t="str">
        <x:v>Да</x:v>
      </x:c>
      <x:c r="D605" s="8" t="str">
        <x:v>RNCF0603BTE100K</x:v>
      </x:c>
      <x:c r="E605" s="2" t="str">
        <x:v>Stackpole Electronics</x:v>
      </x:c>
      <x:c r="F605" s="8" t="str">
        <x:v>0603</x:v>
      </x:c>
      <x:c r="G605" s="2" t="str">
        <x:v>SURFACE_MOUNT</x:v>
      </x:c>
      <x:c r="H605" s="2" t="str">
        <x:v>SELECTED_CATALOG_ITEM</x:v>
      </x:c>
      <x:c r="I605" s="2" t="str">
        <x:v>Не выпущено</x:v>
      </x:c>
      <x:c r="J605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05" s="31" t="str">
        <x:v>https://www.digikey.com/en/products/detail/stackpole-electronics-inc/RNCF0603BTE100K/16890122; https://www.seielect.com/Catalog/SEI-RNCF.pdf</x:v>
      </x:c>
      <x:c r="L605" s="31" t="str"/>
    </x:row>
    <x:row r="606" ht="38" customHeight="1">
      <x:c r="A606" s="12" t="str">
        <x:v>R708</x:v>
      </x:c>
      <x:c r="B606" s="12" t="str">
        <x:v>1k</x:v>
      </x:c>
      <x:c r="C606" s="12" t="str">
        <x:v>Да</x:v>
      </x:c>
      <x:c r="D606" s="11" t="str">
        <x:v>CRCW06031K00FKEA</x:v>
      </x:c>
      <x:c r="E606" s="12" t="str">
        <x:v>Vishay</x:v>
      </x:c>
      <x:c r="F606" s="11" t="str">
        <x:v>0603</x:v>
      </x:c>
      <x:c r="G606" s="12" t="str">
        <x:v>SURFACE_MOUNT</x:v>
      </x:c>
      <x:c r="H606" s="12" t="str">
        <x:v>SELECTED_FAMILY_CODE</x:v>
      </x:c>
      <x:c r="I606" s="12" t="str">
        <x:v>Не выпущено</x:v>
      </x:c>
      <x:c r="J606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06" s="33" t="str">
        <x:v>https://www.vishay.com/docs/20035/dcrcwe3.pdf</x:v>
      </x:c>
      <x:c r="L606" s="33" t="str"/>
    </x:row>
    <x:row r="607" ht="38" customHeight="1">
      <x:c r="A607" s="2" t="str">
        <x:v>R709</x:v>
      </x:c>
      <x:c r="B607" s="2" t="str">
        <x:v>100k 0.1%</x:v>
      </x:c>
      <x:c r="C607" s="2" t="str">
        <x:v>Да</x:v>
      </x:c>
      <x:c r="D607" s="8" t="str">
        <x:v>RNCF0603BTE100K</x:v>
      </x:c>
      <x:c r="E607" s="2" t="str">
        <x:v>Stackpole Electronics</x:v>
      </x:c>
      <x:c r="F607" s="8" t="str">
        <x:v>0603</x:v>
      </x:c>
      <x:c r="G607" s="2" t="str">
        <x:v>SURFACE_MOUNT</x:v>
      </x:c>
      <x:c r="H607" s="2" t="str">
        <x:v>SELECTED_CATALOG_ITEM</x:v>
      </x:c>
      <x:c r="I607" s="2" t="str">
        <x:v>Не выпущено</x:v>
      </x:c>
      <x:c r="J607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07" s="31" t="str">
        <x:v>https://www.digikey.com/en/products/detail/stackpole-electronics-inc/RNCF0603BTE100K/16890122; https://www.seielect.com/Catalog/SEI-RNCF.pdf</x:v>
      </x:c>
      <x:c r="L607" s="31" t="str"/>
    </x:row>
    <x:row r="608" ht="38" customHeight="1">
      <x:c r="A608" s="12" t="str">
        <x:v>R710</x:v>
      </x:c>
      <x:c r="B608" s="12" t="str">
        <x:v>100k 0.1%</x:v>
      </x:c>
      <x:c r="C608" s="12" t="str">
        <x:v>Да</x:v>
      </x:c>
      <x:c r="D608" s="11" t="str">
        <x:v>RNCF0603BTE100K</x:v>
      </x:c>
      <x:c r="E608" s="12" t="str">
        <x:v>Stackpole Electronics</x:v>
      </x:c>
      <x:c r="F608" s="11" t="str">
        <x:v>0603</x:v>
      </x:c>
      <x:c r="G608" s="12" t="str">
        <x:v>SURFACE_MOUNT</x:v>
      </x:c>
      <x:c r="H608" s="12" t="str">
        <x:v>SELECTED_CATALOG_ITEM</x:v>
      </x:c>
      <x:c r="I608" s="12" t="str">
        <x:v>Не выпущено</x:v>
      </x:c>
      <x:c r="J608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08" s="33" t="str">
        <x:v>https://www.digikey.com/en/products/detail/stackpole-electronics-inc/RNCF0603BTE100K/16890122; https://www.seielect.com/Catalog/SEI-RNCF.pdf</x:v>
      </x:c>
      <x:c r="L608" s="33" t="str"/>
    </x:row>
    <x:row r="609" ht="38" customHeight="1">
      <x:c r="A609" s="2" t="str">
        <x:v>R711</x:v>
      </x:c>
      <x:c r="B609" s="2" t="str">
        <x:v>1k</x:v>
      </x:c>
      <x:c r="C609" s="2" t="str">
        <x:v>Да</x:v>
      </x:c>
      <x:c r="D609" s="8" t="str">
        <x:v>CRCW06031K00FKEA</x:v>
      </x:c>
      <x:c r="E609" s="2" t="str">
        <x:v>Vishay</x:v>
      </x:c>
      <x:c r="F609" s="8" t="str">
        <x:v>0603</x:v>
      </x:c>
      <x:c r="G609" s="2" t="str">
        <x:v>SURFACE_MOUNT</x:v>
      </x:c>
      <x:c r="H609" s="2" t="str">
        <x:v>SELECTED_FAMILY_CODE</x:v>
      </x:c>
      <x:c r="I609" s="2" t="str">
        <x:v>Не выпущено</x:v>
      </x:c>
      <x:c r="J609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09" s="31" t="str">
        <x:v>https://www.vishay.com/docs/20035/dcrcwe3.pdf</x:v>
      </x:c>
      <x:c r="L609" s="31" t="str"/>
    </x:row>
    <x:row r="610" ht="38" customHeight="1">
      <x:c r="A610" s="12" t="str">
        <x:v>R712</x:v>
      </x:c>
      <x:c r="B610" s="12" t="str">
        <x:v>100k 0.1%</x:v>
      </x:c>
      <x:c r="C610" s="12" t="str">
        <x:v>Да</x:v>
      </x:c>
      <x:c r="D610" s="11" t="str">
        <x:v>RNCF0603BTE100K</x:v>
      </x:c>
      <x:c r="E610" s="12" t="str">
        <x:v>Stackpole Electronics</x:v>
      </x:c>
      <x:c r="F610" s="11" t="str">
        <x:v>0603</x:v>
      </x:c>
      <x:c r="G610" s="12" t="str">
        <x:v>SURFACE_MOUNT</x:v>
      </x:c>
      <x:c r="H610" s="12" t="str">
        <x:v>SELECTED_CATALOG_ITEM</x:v>
      </x:c>
      <x:c r="I610" s="12" t="str">
        <x:v>Не выпущено</x:v>
      </x:c>
      <x:c r="J610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10" s="33" t="str">
        <x:v>https://www.digikey.com/en/products/detail/stackpole-electronics-inc/RNCF0603BTE100K/16890122; https://www.seielect.com/Catalog/SEI-RNCF.pdf</x:v>
      </x:c>
      <x:c r="L610" s="33" t="str"/>
    </x:row>
    <x:row r="611" ht="38" customHeight="1">
      <x:c r="A611" s="2" t="str">
        <x:v>R713</x:v>
      </x:c>
      <x:c r="B611" s="2" t="str">
        <x:v>100k 0.1%</x:v>
      </x:c>
      <x:c r="C611" s="2" t="str">
        <x:v>Да</x:v>
      </x:c>
      <x:c r="D611" s="8" t="str">
        <x:v>RNCF0603BTE100K</x:v>
      </x:c>
      <x:c r="E611" s="2" t="str">
        <x:v>Stackpole Electronics</x:v>
      </x:c>
      <x:c r="F611" s="8" t="str">
        <x:v>0603</x:v>
      </x:c>
      <x:c r="G611" s="2" t="str">
        <x:v>SURFACE_MOUNT</x:v>
      </x:c>
      <x:c r="H611" s="2" t="str">
        <x:v>SELECTED_CATALOG_ITEM</x:v>
      </x:c>
      <x:c r="I611" s="2" t="str">
        <x:v>Не выпущено</x:v>
      </x:c>
      <x:c r="J611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11" s="31" t="str">
        <x:v>https://www.digikey.com/en/products/detail/stackpole-electronics-inc/RNCF0603BTE100K/16890122; https://www.seielect.com/Catalog/SEI-RNCF.pdf</x:v>
      </x:c>
      <x:c r="L611" s="31" t="str"/>
    </x:row>
    <x:row r="612" ht="38" customHeight="1">
      <x:c r="A612" s="12" t="str">
        <x:v>R714</x:v>
      </x:c>
      <x:c r="B612" s="12" t="str">
        <x:v>1k</x:v>
      </x:c>
      <x:c r="C612" s="12" t="str">
        <x:v>Да</x:v>
      </x:c>
      <x:c r="D612" s="11" t="str">
        <x:v>CRCW06031K00FKEA</x:v>
      </x:c>
      <x:c r="E612" s="12" t="str">
        <x:v>Vishay</x:v>
      </x:c>
      <x:c r="F612" s="11" t="str">
        <x:v>0603</x:v>
      </x:c>
      <x:c r="G612" s="12" t="str">
        <x:v>SURFACE_MOUNT</x:v>
      </x:c>
      <x:c r="H612" s="12" t="str">
        <x:v>SELECTED_FAMILY_CODE</x:v>
      </x:c>
      <x:c r="I612" s="12" t="str">
        <x:v>Не выпущено</x:v>
      </x:c>
      <x:c r="J612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12" s="33" t="str">
        <x:v>https://www.vishay.com/docs/20035/dcrcwe3.pdf</x:v>
      </x:c>
      <x:c r="L612" s="33" t="str"/>
    </x:row>
    <x:row r="613" ht="38" customHeight="1">
      <x:c r="A613" s="2" t="str">
        <x:v>R715</x:v>
      </x:c>
      <x:c r="B613" s="2" t="str">
        <x:v>100k 0.1%</x:v>
      </x:c>
      <x:c r="C613" s="2" t="str">
        <x:v>Да</x:v>
      </x:c>
      <x:c r="D613" s="8" t="str">
        <x:v>RNCF0603BTE100K</x:v>
      </x:c>
      <x:c r="E613" s="2" t="str">
        <x:v>Stackpole Electronics</x:v>
      </x:c>
      <x:c r="F613" s="8" t="str">
        <x:v>0603</x:v>
      </x:c>
      <x:c r="G613" s="2" t="str">
        <x:v>SURFACE_MOUNT</x:v>
      </x:c>
      <x:c r="H613" s="2" t="str">
        <x:v>SELECTED_CATALOG_ITEM</x:v>
      </x:c>
      <x:c r="I613" s="2" t="str">
        <x:v>Не выпущено</x:v>
      </x:c>
      <x:c r="J613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13" s="31" t="str">
        <x:v>https://www.digikey.com/en/products/detail/stackpole-electronics-inc/RNCF0603BTE100K/16890122; https://www.seielect.com/Catalog/SEI-RNCF.pdf</x:v>
      </x:c>
      <x:c r="L613" s="31" t="str"/>
    </x:row>
    <x:row r="614" ht="38" customHeight="1">
      <x:c r="A614" s="12" t="str">
        <x:v>R716</x:v>
      </x:c>
      <x:c r="B614" s="12" t="str">
        <x:v>100k 0.1%</x:v>
      </x:c>
      <x:c r="C614" s="12" t="str">
        <x:v>Да</x:v>
      </x:c>
      <x:c r="D614" s="11" t="str">
        <x:v>RNCF0603BTE100K</x:v>
      </x:c>
      <x:c r="E614" s="12" t="str">
        <x:v>Stackpole Electronics</x:v>
      </x:c>
      <x:c r="F614" s="11" t="str">
        <x:v>0603</x:v>
      </x:c>
      <x:c r="G614" s="12" t="str">
        <x:v>SURFACE_MOUNT</x:v>
      </x:c>
      <x:c r="H614" s="12" t="str">
        <x:v>SELECTED_CATALOG_ITEM</x:v>
      </x:c>
      <x:c r="I614" s="12" t="str">
        <x:v>Не выпущено</x:v>
      </x:c>
      <x:c r="J614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14" s="33" t="str">
        <x:v>https://www.digikey.com/en/products/detail/stackpole-electronics-inc/RNCF0603BTE100K/16890122; https://www.seielect.com/Catalog/SEI-RNCF.pdf</x:v>
      </x:c>
      <x:c r="L614" s="33" t="str"/>
    </x:row>
    <x:row r="615" ht="38" customHeight="1">
      <x:c r="A615" s="2" t="str">
        <x:v>R717</x:v>
      </x:c>
      <x:c r="B615" s="2" t="str">
        <x:v>1k</x:v>
      </x:c>
      <x:c r="C615" s="2" t="str">
        <x:v>Да</x:v>
      </x:c>
      <x:c r="D615" s="8" t="str">
        <x:v>CRCW06031K00FKEA</x:v>
      </x:c>
      <x:c r="E615" s="2" t="str">
        <x:v>Vishay</x:v>
      </x:c>
      <x:c r="F615" s="8" t="str">
        <x:v>0603</x:v>
      </x:c>
      <x:c r="G615" s="2" t="str">
        <x:v>SURFACE_MOUNT</x:v>
      </x:c>
      <x:c r="H615" s="2" t="str">
        <x:v>SELECTED_FAMILY_CODE</x:v>
      </x:c>
      <x:c r="I615" s="2" t="str">
        <x:v>Не выпущено</x:v>
      </x:c>
      <x:c r="J615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15" s="31" t="str">
        <x:v>https://www.vishay.com/docs/20035/dcrcwe3.pdf</x:v>
      </x:c>
      <x:c r="L615" s="31" t="str"/>
    </x:row>
    <x:row r="616" ht="38" customHeight="1">
      <x:c r="A616" s="12" t="str">
        <x:v>R718</x:v>
      </x:c>
      <x:c r="B616" s="12" t="str">
        <x:v>100k 0.1%</x:v>
      </x:c>
      <x:c r="C616" s="12" t="str">
        <x:v>Да</x:v>
      </x:c>
      <x:c r="D616" s="11" t="str">
        <x:v>RNCF0603BTE100K</x:v>
      </x:c>
      <x:c r="E616" s="12" t="str">
        <x:v>Stackpole Electronics</x:v>
      </x:c>
      <x:c r="F616" s="11" t="str">
        <x:v>0603</x:v>
      </x:c>
      <x:c r="G616" s="12" t="str">
        <x:v>SURFACE_MOUNT</x:v>
      </x:c>
      <x:c r="H616" s="12" t="str">
        <x:v>SELECTED_CATALOG_ITEM</x:v>
      </x:c>
      <x:c r="I616" s="12" t="str">
        <x:v>Не выпущено</x:v>
      </x:c>
      <x:c r="J616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16" s="33" t="str">
        <x:v>https://www.digikey.com/en/products/detail/stackpole-electronics-inc/RNCF0603BTE100K/16890122; https://www.seielect.com/Catalog/SEI-RNCF.pdf</x:v>
      </x:c>
      <x:c r="L616" s="33" t="str"/>
    </x:row>
    <x:row r="617" ht="38" customHeight="1">
      <x:c r="A617" s="2" t="str">
        <x:v>R719</x:v>
      </x:c>
      <x:c r="B617" s="2" t="str">
        <x:v>100k 0.1%</x:v>
      </x:c>
      <x:c r="C617" s="2" t="str">
        <x:v>Да</x:v>
      </x:c>
      <x:c r="D617" s="8" t="str">
        <x:v>RNCF0603BTE100K</x:v>
      </x:c>
      <x:c r="E617" s="2" t="str">
        <x:v>Stackpole Electronics</x:v>
      </x:c>
      <x:c r="F617" s="8" t="str">
        <x:v>0603</x:v>
      </x:c>
      <x:c r="G617" s="2" t="str">
        <x:v>SURFACE_MOUNT</x:v>
      </x:c>
      <x:c r="H617" s="2" t="str">
        <x:v>SELECTED_CATALOG_ITEM</x:v>
      </x:c>
      <x:c r="I617" s="2" t="str">
        <x:v>Не выпущено</x:v>
      </x:c>
      <x:c r="J617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17" s="31" t="str">
        <x:v>https://www.digikey.com/en/products/detail/stackpole-electronics-inc/RNCF0603BTE100K/16890122; https://www.seielect.com/Catalog/SEI-RNCF.pdf</x:v>
      </x:c>
      <x:c r="L617" s="31" t="str"/>
    </x:row>
    <x:row r="618" ht="38" customHeight="1">
      <x:c r="A618" s="12" t="str">
        <x:v>R720</x:v>
      </x:c>
      <x:c r="B618" s="12" t="str">
        <x:v>1k</x:v>
      </x:c>
      <x:c r="C618" s="12" t="str">
        <x:v>Да</x:v>
      </x:c>
      <x:c r="D618" s="11" t="str">
        <x:v>CRCW06031K00FKEA</x:v>
      </x:c>
      <x:c r="E618" s="12" t="str">
        <x:v>Vishay</x:v>
      </x:c>
      <x:c r="F618" s="11" t="str">
        <x:v>0603</x:v>
      </x:c>
      <x:c r="G618" s="12" t="str">
        <x:v>SURFACE_MOUNT</x:v>
      </x:c>
      <x:c r="H618" s="12" t="str">
        <x:v>SELECTED_FAMILY_CODE</x:v>
      </x:c>
      <x:c r="I618" s="12" t="str">
        <x:v>Не выпущено</x:v>
      </x:c>
      <x:c r="J618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18" s="33" t="str">
        <x:v>https://www.vishay.com/docs/20035/dcrcwe3.pdf</x:v>
      </x:c>
      <x:c r="L618" s="33" t="str"/>
    </x:row>
    <x:row r="619" ht="38" customHeight="1">
      <x:c r="A619" s="2" t="str">
        <x:v>R721</x:v>
      </x:c>
      <x:c r="B619" s="2" t="str">
        <x:v>100k 0.1%</x:v>
      </x:c>
      <x:c r="C619" s="2" t="str">
        <x:v>Да</x:v>
      </x:c>
      <x:c r="D619" s="8" t="str">
        <x:v>RNCF0603BTE100K</x:v>
      </x:c>
      <x:c r="E619" s="2" t="str">
        <x:v>Stackpole Electronics</x:v>
      </x:c>
      <x:c r="F619" s="8" t="str">
        <x:v>0603</x:v>
      </x:c>
      <x:c r="G619" s="2" t="str">
        <x:v>SURFACE_MOUNT</x:v>
      </x:c>
      <x:c r="H619" s="2" t="str">
        <x:v>SELECTED_CATALOG_ITEM</x:v>
      </x:c>
      <x:c r="I619" s="2" t="str">
        <x:v>Не выпущено</x:v>
      </x:c>
      <x:c r="J619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19" s="31" t="str">
        <x:v>https://www.digikey.com/en/products/detail/stackpole-electronics-inc/RNCF0603BTE100K/16890122; https://www.seielect.com/Catalog/SEI-RNCF.pdf</x:v>
      </x:c>
      <x:c r="L619" s="31" t="str"/>
    </x:row>
    <x:row r="620" ht="38" customHeight="1">
      <x:c r="A620" s="12" t="str">
        <x:v>R722</x:v>
      </x:c>
      <x:c r="B620" s="12" t="str">
        <x:v>100k 0.1%</x:v>
      </x:c>
      <x:c r="C620" s="12" t="str">
        <x:v>Да</x:v>
      </x:c>
      <x:c r="D620" s="11" t="str">
        <x:v>RNCF0603BTE100K</x:v>
      </x:c>
      <x:c r="E620" s="12" t="str">
        <x:v>Stackpole Electronics</x:v>
      </x:c>
      <x:c r="F620" s="11" t="str">
        <x:v>0603</x:v>
      </x:c>
      <x:c r="G620" s="12" t="str">
        <x:v>SURFACE_MOUNT</x:v>
      </x:c>
      <x:c r="H620" s="12" t="str">
        <x:v>SELECTED_CATALOG_ITEM</x:v>
      </x:c>
      <x:c r="I620" s="12" t="str">
        <x:v>Не выпущено</x:v>
      </x:c>
      <x:c r="J620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20" s="33" t="str">
        <x:v>https://www.digikey.com/en/products/detail/stackpole-electronics-inc/RNCF0603BTE100K/16890122; https://www.seielect.com/Catalog/SEI-RNCF.pdf</x:v>
      </x:c>
      <x:c r="L620" s="33" t="str"/>
    </x:row>
    <x:row r="621" ht="38" customHeight="1">
      <x:c r="A621" s="2" t="str">
        <x:v>R723</x:v>
      </x:c>
      <x:c r="B621" s="2" t="str">
        <x:v>1k</x:v>
      </x:c>
      <x:c r="C621" s="2" t="str">
        <x:v>Да</x:v>
      </x:c>
      <x:c r="D621" s="8" t="str">
        <x:v>CRCW06031K00FKEA</x:v>
      </x:c>
      <x:c r="E621" s="2" t="str">
        <x:v>Vishay</x:v>
      </x:c>
      <x:c r="F621" s="8" t="str">
        <x:v>0603</x:v>
      </x:c>
      <x:c r="G621" s="2" t="str">
        <x:v>SURFACE_MOUNT</x:v>
      </x:c>
      <x:c r="H621" s="2" t="str">
        <x:v>SELECTED_FAMILY_CODE</x:v>
      </x:c>
      <x:c r="I621" s="2" t="str">
        <x:v>Не выпущено</x:v>
      </x:c>
      <x:c r="J621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21" s="31" t="str">
        <x:v>https://www.vishay.com/docs/20035/dcrcwe3.pdf</x:v>
      </x:c>
      <x:c r="L621" s="31" t="str"/>
    </x:row>
    <x:row r="622" ht="38" customHeight="1">
      <x:c r="A622" s="12" t="str">
        <x:v>R724</x:v>
      </x:c>
      <x:c r="B622" s="12" t="str">
        <x:v>100k 0.1%</x:v>
      </x:c>
      <x:c r="C622" s="12" t="str">
        <x:v>Да</x:v>
      </x:c>
      <x:c r="D622" s="11" t="str">
        <x:v>RNCF0603BTE100K</x:v>
      </x:c>
      <x:c r="E622" s="12" t="str">
        <x:v>Stackpole Electronics</x:v>
      </x:c>
      <x:c r="F622" s="11" t="str">
        <x:v>0603</x:v>
      </x:c>
      <x:c r="G622" s="12" t="str">
        <x:v>SURFACE_MOUNT</x:v>
      </x:c>
      <x:c r="H622" s="12" t="str">
        <x:v>SELECTED_CATALOG_ITEM</x:v>
      </x:c>
      <x:c r="I622" s="12" t="str">
        <x:v>Не выпущено</x:v>
      </x:c>
      <x:c r="J622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22" s="33" t="str">
        <x:v>https://www.digikey.com/en/products/detail/stackpole-electronics-inc/RNCF0603BTE100K/16890122; https://www.seielect.com/Catalog/SEI-RNCF.pdf</x:v>
      </x:c>
      <x:c r="L622" s="33" t="str"/>
    </x:row>
    <x:row r="623" ht="38" customHeight="1">
      <x:c r="A623" s="2" t="str">
        <x:v>R725</x:v>
      </x:c>
      <x:c r="B623" s="2" t="str">
        <x:v>100k 0.1%</x:v>
      </x:c>
      <x:c r="C623" s="2" t="str">
        <x:v>Да</x:v>
      </x:c>
      <x:c r="D623" s="8" t="str">
        <x:v>RNCF0603BTE100K</x:v>
      </x:c>
      <x:c r="E623" s="2" t="str">
        <x:v>Stackpole Electronics</x:v>
      </x:c>
      <x:c r="F623" s="8" t="str">
        <x:v>0603</x:v>
      </x:c>
      <x:c r="G623" s="2" t="str">
        <x:v>SURFACE_MOUNT</x:v>
      </x:c>
      <x:c r="H623" s="2" t="str">
        <x:v>SELECTED_CATALOG_ITEM</x:v>
      </x:c>
      <x:c r="I623" s="2" t="str">
        <x:v>Не выпущено</x:v>
      </x:c>
      <x:c r="J623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23" s="31" t="str">
        <x:v>https://www.digikey.com/en/products/detail/stackpole-electronics-inc/RNCF0603BTE100K/16890122; https://www.seielect.com/Catalog/SEI-RNCF.pdf</x:v>
      </x:c>
      <x:c r="L623" s="31" t="str"/>
    </x:row>
    <x:row r="624" ht="38" customHeight="1">
      <x:c r="A624" s="12" t="str">
        <x:v>R726</x:v>
      </x:c>
      <x:c r="B624" s="12" t="str">
        <x:v>1k</x:v>
      </x:c>
      <x:c r="C624" s="12" t="str">
        <x:v>Да</x:v>
      </x:c>
      <x:c r="D624" s="11" t="str">
        <x:v>CRCW06031K00FKEA</x:v>
      </x:c>
      <x:c r="E624" s="12" t="str">
        <x:v>Vishay</x:v>
      </x:c>
      <x:c r="F624" s="11" t="str">
        <x:v>0603</x:v>
      </x:c>
      <x:c r="G624" s="12" t="str">
        <x:v>SURFACE_MOUNT</x:v>
      </x:c>
      <x:c r="H624" s="12" t="str">
        <x:v>SELECTED_FAMILY_CODE</x:v>
      </x:c>
      <x:c r="I624" s="12" t="str">
        <x:v>Не выпущено</x:v>
      </x:c>
      <x:c r="J624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24" s="33" t="str">
        <x:v>https://www.vishay.com/docs/20035/dcrcwe3.pdf</x:v>
      </x:c>
      <x:c r="L624" s="33" t="str"/>
    </x:row>
    <x:row r="625" ht="38" customHeight="1">
      <x:c r="A625" s="2" t="str">
        <x:v>R727</x:v>
      </x:c>
      <x:c r="B625" s="2" t="str">
        <x:v>100k 0.1%</x:v>
      </x:c>
      <x:c r="C625" s="2" t="str">
        <x:v>Да</x:v>
      </x:c>
      <x:c r="D625" s="8" t="str">
        <x:v>RNCF0603BTE100K</x:v>
      </x:c>
      <x:c r="E625" s="2" t="str">
        <x:v>Stackpole Electronics</x:v>
      </x:c>
      <x:c r="F625" s="8" t="str">
        <x:v>0603</x:v>
      </x:c>
      <x:c r="G625" s="2" t="str">
        <x:v>SURFACE_MOUNT</x:v>
      </x:c>
      <x:c r="H625" s="2" t="str">
        <x:v>SELECTED_CATALOG_ITEM</x:v>
      </x:c>
      <x:c r="I625" s="2" t="str">
        <x:v>Не выпущено</x:v>
      </x:c>
      <x:c r="J625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25" s="31" t="str">
        <x:v>https://www.digikey.com/en/products/detail/stackpole-electronics-inc/RNCF0603BTE100K/16890122; https://www.seielect.com/Catalog/SEI-RNCF.pdf</x:v>
      </x:c>
      <x:c r="L625" s="31" t="str"/>
    </x:row>
    <x:row r="626" ht="38" customHeight="1">
      <x:c r="A626" s="12" t="str">
        <x:v>R728</x:v>
      </x:c>
      <x:c r="B626" s="12" t="str">
        <x:v>100k 0.1%</x:v>
      </x:c>
      <x:c r="C626" s="12" t="str">
        <x:v>Да</x:v>
      </x:c>
      <x:c r="D626" s="11" t="str">
        <x:v>RNCF0603BTE100K</x:v>
      </x:c>
      <x:c r="E626" s="12" t="str">
        <x:v>Stackpole Electronics</x:v>
      </x:c>
      <x:c r="F626" s="11" t="str">
        <x:v>0603</x:v>
      </x:c>
      <x:c r="G626" s="12" t="str">
        <x:v>SURFACE_MOUNT</x:v>
      </x:c>
      <x:c r="H626" s="12" t="str">
        <x:v>SELECTED_CATALOG_ITEM</x:v>
      </x:c>
      <x:c r="I626" s="12" t="str">
        <x:v>Не выпущено</x:v>
      </x:c>
      <x:c r="J626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26" s="33" t="str">
        <x:v>https://www.digikey.com/en/products/detail/stackpole-electronics-inc/RNCF0603BTE100K/16890122; https://www.seielect.com/Catalog/SEI-RNCF.pdf</x:v>
      </x:c>
      <x:c r="L626" s="33" t="str"/>
    </x:row>
    <x:row r="627" ht="38" customHeight="1">
      <x:c r="A627" s="2" t="str">
        <x:v>R729</x:v>
      </x:c>
      <x:c r="B627" s="2" t="str">
        <x:v>1k</x:v>
      </x:c>
      <x:c r="C627" s="2" t="str">
        <x:v>Да</x:v>
      </x:c>
      <x:c r="D627" s="8" t="str">
        <x:v>CRCW06031K00FKEA</x:v>
      </x:c>
      <x:c r="E627" s="2" t="str">
        <x:v>Vishay</x:v>
      </x:c>
      <x:c r="F627" s="8" t="str">
        <x:v>0603</x:v>
      </x:c>
      <x:c r="G627" s="2" t="str">
        <x:v>SURFACE_MOUNT</x:v>
      </x:c>
      <x:c r="H627" s="2" t="str">
        <x:v>SELECTED_FAMILY_CODE</x:v>
      </x:c>
      <x:c r="I627" s="2" t="str">
        <x:v>Не выпущено</x:v>
      </x:c>
      <x:c r="J627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27" s="31" t="str">
        <x:v>https://www.vishay.com/docs/20035/dcrcwe3.pdf</x:v>
      </x:c>
      <x:c r="L627" s="31" t="str"/>
    </x:row>
    <x:row r="628" ht="38" customHeight="1">
      <x:c r="A628" s="12" t="str">
        <x:v>R730</x:v>
      </x:c>
      <x:c r="B628" s="12" t="str">
        <x:v>100k 0.1%</x:v>
      </x:c>
      <x:c r="C628" s="12" t="str">
        <x:v>Да</x:v>
      </x:c>
      <x:c r="D628" s="11" t="str">
        <x:v>RNCF0603BTE100K</x:v>
      </x:c>
      <x:c r="E628" s="12" t="str">
        <x:v>Stackpole Electronics</x:v>
      </x:c>
      <x:c r="F628" s="11" t="str">
        <x:v>0603</x:v>
      </x:c>
      <x:c r="G628" s="12" t="str">
        <x:v>SURFACE_MOUNT</x:v>
      </x:c>
      <x:c r="H628" s="12" t="str">
        <x:v>SELECTED_CATALOG_ITEM</x:v>
      </x:c>
      <x:c r="I628" s="12" t="str">
        <x:v>Не выпущено</x:v>
      </x:c>
      <x:c r="J628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28" s="33" t="str">
        <x:v>https://www.digikey.com/en/products/detail/stackpole-electronics-inc/RNCF0603BTE100K/16890122; https://www.seielect.com/Catalog/SEI-RNCF.pdf</x:v>
      </x:c>
      <x:c r="L628" s="33" t="str"/>
    </x:row>
    <x:row r="629" ht="38" customHeight="1">
      <x:c r="A629" s="2" t="str">
        <x:v>R731</x:v>
      </x:c>
      <x:c r="B629" s="2" t="str">
        <x:v>100k 0.1%</x:v>
      </x:c>
      <x:c r="C629" s="2" t="str">
        <x:v>Да</x:v>
      </x:c>
      <x:c r="D629" s="8" t="str">
        <x:v>RNCF0603BTE100K</x:v>
      </x:c>
      <x:c r="E629" s="2" t="str">
        <x:v>Stackpole Electronics</x:v>
      </x:c>
      <x:c r="F629" s="8" t="str">
        <x:v>0603</x:v>
      </x:c>
      <x:c r="G629" s="2" t="str">
        <x:v>SURFACE_MOUNT</x:v>
      </x:c>
      <x:c r="H629" s="2" t="str">
        <x:v>SELECTED_CATALOG_ITEM</x:v>
      </x:c>
      <x:c r="I629" s="2" t="str">
        <x:v>Не выпущено</x:v>
      </x:c>
      <x:c r="J629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29" s="31" t="str">
        <x:v>https://www.digikey.com/en/products/detail/stackpole-electronics-inc/RNCF0603BTE100K/16890122; https://www.seielect.com/Catalog/SEI-RNCF.pdf</x:v>
      </x:c>
      <x:c r="L629" s="31" t="str"/>
    </x:row>
    <x:row r="630" ht="38" customHeight="1">
      <x:c r="A630" s="12" t="str">
        <x:v>R732</x:v>
      </x:c>
      <x:c r="B630" s="12" t="str">
        <x:v>1k</x:v>
      </x:c>
      <x:c r="C630" s="12" t="str">
        <x:v>Да</x:v>
      </x:c>
      <x:c r="D630" s="11" t="str">
        <x:v>CRCW06031K00FKEA</x:v>
      </x:c>
      <x:c r="E630" s="12" t="str">
        <x:v>Vishay</x:v>
      </x:c>
      <x:c r="F630" s="11" t="str">
        <x:v>0603</x:v>
      </x:c>
      <x:c r="G630" s="12" t="str">
        <x:v>SURFACE_MOUNT</x:v>
      </x:c>
      <x:c r="H630" s="12" t="str">
        <x:v>SELECTED_FAMILY_CODE</x:v>
      </x:c>
      <x:c r="I630" s="12" t="str">
        <x:v>Не выпущено</x:v>
      </x:c>
      <x:c r="J630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30" s="33" t="str">
        <x:v>https://www.vishay.com/docs/20035/dcrcwe3.pdf</x:v>
      </x:c>
      <x:c r="L630" s="33" t="str"/>
    </x:row>
    <x:row r="631" ht="38" customHeight="1">
      <x:c r="A631" s="2" t="str">
        <x:v>R733</x:v>
      </x:c>
      <x:c r="B631" s="2" t="str">
        <x:v>100k 0.1%</x:v>
      </x:c>
      <x:c r="C631" s="2" t="str">
        <x:v>Да</x:v>
      </x:c>
      <x:c r="D631" s="8" t="str">
        <x:v>RNCF0603BTE100K</x:v>
      </x:c>
      <x:c r="E631" s="2" t="str">
        <x:v>Stackpole Electronics</x:v>
      </x:c>
      <x:c r="F631" s="8" t="str">
        <x:v>0603</x:v>
      </x:c>
      <x:c r="G631" s="2" t="str">
        <x:v>SURFACE_MOUNT</x:v>
      </x:c>
      <x:c r="H631" s="2" t="str">
        <x:v>SELECTED_CATALOG_ITEM</x:v>
      </x:c>
      <x:c r="I631" s="2" t="str">
        <x:v>Не выпущено</x:v>
      </x:c>
      <x:c r="J631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31" s="31" t="str">
        <x:v>https://www.digikey.com/en/products/detail/stackpole-electronics-inc/RNCF0603BTE100K/16890122; https://www.seielect.com/Catalog/SEI-RNCF.pdf</x:v>
      </x:c>
      <x:c r="L631" s="31" t="str"/>
    </x:row>
    <x:row r="632" ht="38" customHeight="1">
      <x:c r="A632" s="12" t="str">
        <x:v>R734</x:v>
      </x:c>
      <x:c r="B632" s="12" t="str">
        <x:v>100k 0.1%</x:v>
      </x:c>
      <x:c r="C632" s="12" t="str">
        <x:v>Да</x:v>
      </x:c>
      <x:c r="D632" s="11" t="str">
        <x:v>RNCF0603BTE100K</x:v>
      </x:c>
      <x:c r="E632" s="12" t="str">
        <x:v>Stackpole Electronics</x:v>
      </x:c>
      <x:c r="F632" s="11" t="str">
        <x:v>0603</x:v>
      </x:c>
      <x:c r="G632" s="12" t="str">
        <x:v>SURFACE_MOUNT</x:v>
      </x:c>
      <x:c r="H632" s="12" t="str">
        <x:v>SELECTED_CATALOG_ITEM</x:v>
      </x:c>
      <x:c r="I632" s="12" t="str">
        <x:v>Не выпущено</x:v>
      </x:c>
      <x:c r="J632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32" s="33" t="str">
        <x:v>https://www.digikey.com/en/products/detail/stackpole-electronics-inc/RNCF0603BTE100K/16890122; https://www.seielect.com/Catalog/SEI-RNCF.pdf</x:v>
      </x:c>
      <x:c r="L632" s="33" t="str"/>
    </x:row>
    <x:row r="633" ht="38" customHeight="1">
      <x:c r="A633" s="2" t="str">
        <x:v>R735</x:v>
      </x:c>
      <x:c r="B633" s="2" t="str">
        <x:v>1k</x:v>
      </x:c>
      <x:c r="C633" s="2" t="str">
        <x:v>Да</x:v>
      </x:c>
      <x:c r="D633" s="8" t="str">
        <x:v>CRCW06031K00FKEA</x:v>
      </x:c>
      <x:c r="E633" s="2" t="str">
        <x:v>Vishay</x:v>
      </x:c>
      <x:c r="F633" s="8" t="str">
        <x:v>0603</x:v>
      </x:c>
      <x:c r="G633" s="2" t="str">
        <x:v>SURFACE_MOUNT</x:v>
      </x:c>
      <x:c r="H633" s="2" t="str">
        <x:v>SELECTED_FAMILY_CODE</x:v>
      </x:c>
      <x:c r="I633" s="2" t="str">
        <x:v>Не выпущено</x:v>
      </x:c>
      <x:c r="J633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33" s="31" t="str">
        <x:v>https://www.vishay.com/docs/20035/dcrcwe3.pdf</x:v>
      </x:c>
      <x:c r="L633" s="31" t="str"/>
    </x:row>
    <x:row r="634" ht="38" customHeight="1">
      <x:c r="A634" s="12" t="str">
        <x:v>R736</x:v>
      </x:c>
      <x:c r="B634" s="12" t="str">
        <x:v>100k 0.1%</x:v>
      </x:c>
      <x:c r="C634" s="12" t="str">
        <x:v>Да</x:v>
      </x:c>
      <x:c r="D634" s="11" t="str">
        <x:v>RNCF0603BTE100K</x:v>
      </x:c>
      <x:c r="E634" s="12" t="str">
        <x:v>Stackpole Electronics</x:v>
      </x:c>
      <x:c r="F634" s="11" t="str">
        <x:v>0603</x:v>
      </x:c>
      <x:c r="G634" s="12" t="str">
        <x:v>SURFACE_MOUNT</x:v>
      </x:c>
      <x:c r="H634" s="12" t="str">
        <x:v>SELECTED_CATALOG_ITEM</x:v>
      </x:c>
      <x:c r="I634" s="12" t="str">
        <x:v>Не выпущено</x:v>
      </x:c>
      <x:c r="J634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34" s="33" t="str">
        <x:v>https://www.digikey.com/en/products/detail/stackpole-electronics-inc/RNCF0603BTE100K/16890122; https://www.seielect.com/Catalog/SEI-RNCF.pdf</x:v>
      </x:c>
      <x:c r="L634" s="33" t="str"/>
    </x:row>
    <x:row r="635" ht="38" customHeight="1">
      <x:c r="A635" s="2" t="str">
        <x:v>R737</x:v>
      </x:c>
      <x:c r="B635" s="2" t="str">
        <x:v>100k 0.1%</x:v>
      </x:c>
      <x:c r="C635" s="2" t="str">
        <x:v>Да</x:v>
      </x:c>
      <x:c r="D635" s="8" t="str">
        <x:v>RNCF0603BTE100K</x:v>
      </x:c>
      <x:c r="E635" s="2" t="str">
        <x:v>Stackpole Electronics</x:v>
      </x:c>
      <x:c r="F635" s="8" t="str">
        <x:v>0603</x:v>
      </x:c>
      <x:c r="G635" s="2" t="str">
        <x:v>SURFACE_MOUNT</x:v>
      </x:c>
      <x:c r="H635" s="2" t="str">
        <x:v>SELECTED_CATALOG_ITEM</x:v>
      </x:c>
      <x:c r="I635" s="2" t="str">
        <x:v>Не выпущено</x:v>
      </x:c>
      <x:c r="J635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35" s="31" t="str">
        <x:v>https://www.digikey.com/en/products/detail/stackpole-electronics-inc/RNCF0603BTE100K/16890122; https://www.seielect.com/Catalog/SEI-RNCF.pdf</x:v>
      </x:c>
      <x:c r="L635" s="31" t="str"/>
    </x:row>
    <x:row r="636" ht="38" customHeight="1">
      <x:c r="A636" s="12" t="str">
        <x:v>R738</x:v>
      </x:c>
      <x:c r="B636" s="12" t="str">
        <x:v>1k</x:v>
      </x:c>
      <x:c r="C636" s="12" t="str">
        <x:v>Да</x:v>
      </x:c>
      <x:c r="D636" s="11" t="str">
        <x:v>CRCW06031K00FKEA</x:v>
      </x:c>
      <x:c r="E636" s="12" t="str">
        <x:v>Vishay</x:v>
      </x:c>
      <x:c r="F636" s="11" t="str">
        <x:v>0603</x:v>
      </x:c>
      <x:c r="G636" s="12" t="str">
        <x:v>SURFACE_MOUNT</x:v>
      </x:c>
      <x:c r="H636" s="12" t="str">
        <x:v>SELECTED_FAMILY_CODE</x:v>
      </x:c>
      <x:c r="I636" s="12" t="str">
        <x:v>Не выпущено</x:v>
      </x:c>
      <x:c r="J636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36" s="33" t="str">
        <x:v>https://www.vishay.com/docs/20035/dcrcwe3.pdf</x:v>
      </x:c>
      <x:c r="L636" s="33" t="str"/>
    </x:row>
    <x:row r="637" ht="38" customHeight="1">
      <x:c r="A637" s="2" t="str">
        <x:v>R739</x:v>
      </x:c>
      <x:c r="B637" s="2" t="str">
        <x:v>100k 0.1%</x:v>
      </x:c>
      <x:c r="C637" s="2" t="str">
        <x:v>Да</x:v>
      </x:c>
      <x:c r="D637" s="8" t="str">
        <x:v>RNCF0603BTE100K</x:v>
      </x:c>
      <x:c r="E637" s="2" t="str">
        <x:v>Stackpole Electronics</x:v>
      </x:c>
      <x:c r="F637" s="8" t="str">
        <x:v>0603</x:v>
      </x:c>
      <x:c r="G637" s="2" t="str">
        <x:v>SURFACE_MOUNT</x:v>
      </x:c>
      <x:c r="H637" s="2" t="str">
        <x:v>SELECTED_CATALOG_ITEM</x:v>
      </x:c>
      <x:c r="I637" s="2" t="str">
        <x:v>Не выпущено</x:v>
      </x:c>
      <x:c r="J637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37" s="31" t="str">
        <x:v>https://www.digikey.com/en/products/detail/stackpole-electronics-inc/RNCF0603BTE100K/16890122; https://www.seielect.com/Catalog/SEI-RNCF.pdf</x:v>
      </x:c>
      <x:c r="L637" s="31" t="str"/>
    </x:row>
    <x:row r="638" ht="38" customHeight="1">
      <x:c r="A638" s="12" t="str">
        <x:v>R740</x:v>
      </x:c>
      <x:c r="B638" s="12" t="str">
        <x:v>100k 0.1%</x:v>
      </x:c>
      <x:c r="C638" s="12" t="str">
        <x:v>Да</x:v>
      </x:c>
      <x:c r="D638" s="11" t="str">
        <x:v>RNCF0603BTE100K</x:v>
      </x:c>
      <x:c r="E638" s="12" t="str">
        <x:v>Stackpole Electronics</x:v>
      </x:c>
      <x:c r="F638" s="11" t="str">
        <x:v>0603</x:v>
      </x:c>
      <x:c r="G638" s="12" t="str">
        <x:v>SURFACE_MOUNT</x:v>
      </x:c>
      <x:c r="H638" s="12" t="str">
        <x:v>SELECTED_CATALOG_ITEM</x:v>
      </x:c>
      <x:c r="I638" s="12" t="str">
        <x:v>Не выпущено</x:v>
      </x:c>
      <x:c r="J638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38" s="33" t="str">
        <x:v>https://www.digikey.com/en/products/detail/stackpole-electronics-inc/RNCF0603BTE100K/16890122; https://www.seielect.com/Catalog/SEI-RNCF.pdf</x:v>
      </x:c>
      <x:c r="L638" s="33" t="str"/>
    </x:row>
    <x:row r="639" ht="38" customHeight="1">
      <x:c r="A639" s="2" t="str">
        <x:v>R741</x:v>
      </x:c>
      <x:c r="B639" s="2" t="str">
        <x:v>1k</x:v>
      </x:c>
      <x:c r="C639" s="2" t="str">
        <x:v>Да</x:v>
      </x:c>
      <x:c r="D639" s="8" t="str">
        <x:v>CRCW06031K00FKEA</x:v>
      </x:c>
      <x:c r="E639" s="2" t="str">
        <x:v>Vishay</x:v>
      </x:c>
      <x:c r="F639" s="8" t="str">
        <x:v>0603</x:v>
      </x:c>
      <x:c r="G639" s="2" t="str">
        <x:v>SURFACE_MOUNT</x:v>
      </x:c>
      <x:c r="H639" s="2" t="str">
        <x:v>SELECTED_FAMILY_CODE</x:v>
      </x:c>
      <x:c r="I639" s="2" t="str">
        <x:v>Не выпущено</x:v>
      </x:c>
      <x:c r="J639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39" s="31" t="str">
        <x:v>https://www.vishay.com/docs/20035/dcrcwe3.pdf</x:v>
      </x:c>
      <x:c r="L639" s="31" t="str"/>
    </x:row>
    <x:row r="640" ht="38" customHeight="1">
      <x:c r="A640" s="12" t="str">
        <x:v>R742</x:v>
      </x:c>
      <x:c r="B640" s="12" t="str">
        <x:v>100k 0.1%</x:v>
      </x:c>
      <x:c r="C640" s="12" t="str">
        <x:v>Да</x:v>
      </x:c>
      <x:c r="D640" s="11" t="str">
        <x:v>RNCF0603BTE100K</x:v>
      </x:c>
      <x:c r="E640" s="12" t="str">
        <x:v>Stackpole Electronics</x:v>
      </x:c>
      <x:c r="F640" s="11" t="str">
        <x:v>0603</x:v>
      </x:c>
      <x:c r="G640" s="12" t="str">
        <x:v>SURFACE_MOUNT</x:v>
      </x:c>
      <x:c r="H640" s="12" t="str">
        <x:v>SELECTED_CATALOG_ITEM</x:v>
      </x:c>
      <x:c r="I640" s="12" t="str">
        <x:v>Не выпущено</x:v>
      </x:c>
      <x:c r="J640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40" s="33" t="str">
        <x:v>https://www.digikey.com/en/products/detail/stackpole-electronics-inc/RNCF0603BTE100K/16890122; https://www.seielect.com/Catalog/SEI-RNCF.pdf</x:v>
      </x:c>
      <x:c r="L640" s="33" t="str"/>
    </x:row>
    <x:row r="641" ht="38" customHeight="1">
      <x:c r="A641" s="2" t="str">
        <x:v>R743</x:v>
      </x:c>
      <x:c r="B641" s="2" t="str">
        <x:v>100k 0.1%</x:v>
      </x:c>
      <x:c r="C641" s="2" t="str">
        <x:v>Да</x:v>
      </x:c>
      <x:c r="D641" s="8" t="str">
        <x:v>RNCF0603BTE100K</x:v>
      </x:c>
      <x:c r="E641" s="2" t="str">
        <x:v>Stackpole Electronics</x:v>
      </x:c>
      <x:c r="F641" s="8" t="str">
        <x:v>0603</x:v>
      </x:c>
      <x:c r="G641" s="2" t="str">
        <x:v>SURFACE_MOUNT</x:v>
      </x:c>
      <x:c r="H641" s="2" t="str">
        <x:v>SELECTED_CATALOG_ITEM</x:v>
      </x:c>
      <x:c r="I641" s="2" t="str">
        <x:v>Не выпущено</x:v>
      </x:c>
      <x:c r="J641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41" s="31" t="str">
        <x:v>https://www.digikey.com/en/products/detail/stackpole-electronics-inc/RNCF0603BTE100K/16890122; https://www.seielect.com/Catalog/SEI-RNCF.pdf</x:v>
      </x:c>
      <x:c r="L641" s="31" t="str"/>
    </x:row>
    <x:row r="642" ht="38" customHeight="1">
      <x:c r="A642" s="12" t="str">
        <x:v>R744</x:v>
      </x:c>
      <x:c r="B642" s="12" t="str">
        <x:v>1k</x:v>
      </x:c>
      <x:c r="C642" s="12" t="str">
        <x:v>Да</x:v>
      </x:c>
      <x:c r="D642" s="11" t="str">
        <x:v>CRCW06031K00FKEA</x:v>
      </x:c>
      <x:c r="E642" s="12" t="str">
        <x:v>Vishay</x:v>
      </x:c>
      <x:c r="F642" s="11" t="str">
        <x:v>0603</x:v>
      </x:c>
      <x:c r="G642" s="12" t="str">
        <x:v>SURFACE_MOUNT</x:v>
      </x:c>
      <x:c r="H642" s="12" t="str">
        <x:v>SELECTED_FAMILY_CODE</x:v>
      </x:c>
      <x:c r="I642" s="12" t="str">
        <x:v>Не выпущено</x:v>
      </x:c>
      <x:c r="J642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42" s="33" t="str">
        <x:v>https://www.vishay.com/docs/20035/dcrcwe3.pdf</x:v>
      </x:c>
      <x:c r="L642" s="33" t="str"/>
    </x:row>
    <x:row r="643" ht="38" customHeight="1">
      <x:c r="A643" s="2" t="str">
        <x:v>R745</x:v>
      </x:c>
      <x:c r="B643" s="2" t="str">
        <x:v>100k 0.1%</x:v>
      </x:c>
      <x:c r="C643" s="2" t="str">
        <x:v>Да</x:v>
      </x:c>
      <x:c r="D643" s="8" t="str">
        <x:v>RNCF0603BTE100K</x:v>
      </x:c>
      <x:c r="E643" s="2" t="str">
        <x:v>Stackpole Electronics</x:v>
      </x:c>
      <x:c r="F643" s="8" t="str">
        <x:v>0603</x:v>
      </x:c>
      <x:c r="G643" s="2" t="str">
        <x:v>SURFACE_MOUNT</x:v>
      </x:c>
      <x:c r="H643" s="2" t="str">
        <x:v>SELECTED_CATALOG_ITEM</x:v>
      </x:c>
      <x:c r="I643" s="2" t="str">
        <x:v>Не выпущено</x:v>
      </x:c>
      <x:c r="J643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43" s="31" t="str">
        <x:v>https://www.digikey.com/en/products/detail/stackpole-electronics-inc/RNCF0603BTE100K/16890122; https://www.seielect.com/Catalog/SEI-RNCF.pdf</x:v>
      </x:c>
      <x:c r="L643" s="31" t="str"/>
    </x:row>
    <x:row r="644" ht="38" customHeight="1">
      <x:c r="A644" s="12" t="str">
        <x:v>R746</x:v>
      </x:c>
      <x:c r="B644" s="12" t="str">
        <x:v>100k 0.1%</x:v>
      </x:c>
      <x:c r="C644" s="12" t="str">
        <x:v>Да</x:v>
      </x:c>
      <x:c r="D644" s="11" t="str">
        <x:v>RNCF0603BTE100K</x:v>
      </x:c>
      <x:c r="E644" s="12" t="str">
        <x:v>Stackpole Electronics</x:v>
      </x:c>
      <x:c r="F644" s="11" t="str">
        <x:v>0603</x:v>
      </x:c>
      <x:c r="G644" s="12" t="str">
        <x:v>SURFACE_MOUNT</x:v>
      </x:c>
      <x:c r="H644" s="12" t="str">
        <x:v>SELECTED_CATALOG_ITEM</x:v>
      </x:c>
      <x:c r="I644" s="12" t="str">
        <x:v>Не выпущено</x:v>
      </x:c>
      <x:c r="J644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44" s="33" t="str">
        <x:v>https://www.digikey.com/en/products/detail/stackpole-electronics-inc/RNCF0603BTE100K/16890122; https://www.seielect.com/Catalog/SEI-RNCF.pdf</x:v>
      </x:c>
      <x:c r="L644" s="33" t="str"/>
    </x:row>
    <x:row r="645" ht="38" customHeight="1">
      <x:c r="A645" s="2" t="str">
        <x:v>R747</x:v>
      </x:c>
      <x:c r="B645" s="2" t="str">
        <x:v>1k</x:v>
      </x:c>
      <x:c r="C645" s="2" t="str">
        <x:v>Да</x:v>
      </x:c>
      <x:c r="D645" s="8" t="str">
        <x:v>CRCW06031K00FKEA</x:v>
      </x:c>
      <x:c r="E645" s="2" t="str">
        <x:v>Vishay</x:v>
      </x:c>
      <x:c r="F645" s="8" t="str">
        <x:v>0603</x:v>
      </x:c>
      <x:c r="G645" s="2" t="str">
        <x:v>SURFACE_MOUNT</x:v>
      </x:c>
      <x:c r="H645" s="2" t="str">
        <x:v>SELECTED_FAMILY_CODE</x:v>
      </x:c>
      <x:c r="I645" s="2" t="str">
        <x:v>Не выпущено</x:v>
      </x:c>
      <x:c r="J645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45" s="31" t="str">
        <x:v>https://www.vishay.com/docs/20035/dcrcwe3.pdf</x:v>
      </x:c>
      <x:c r="L645" s="31" t="str"/>
    </x:row>
    <x:row r="646" ht="38" customHeight="1">
      <x:c r="A646" s="12" t="str">
        <x:v>R748</x:v>
      </x:c>
      <x:c r="B646" s="12" t="str">
        <x:v>100k 0.1%</x:v>
      </x:c>
      <x:c r="C646" s="12" t="str">
        <x:v>Да</x:v>
      </x:c>
      <x:c r="D646" s="11" t="str">
        <x:v>RNCF0603BTE100K</x:v>
      </x:c>
      <x:c r="E646" s="12" t="str">
        <x:v>Stackpole Electronics</x:v>
      </x:c>
      <x:c r="F646" s="11" t="str">
        <x:v>0603</x:v>
      </x:c>
      <x:c r="G646" s="12" t="str">
        <x:v>SURFACE_MOUNT</x:v>
      </x:c>
      <x:c r="H646" s="12" t="str">
        <x:v>SELECTED_CATALOG_ITEM</x:v>
      </x:c>
      <x:c r="I646" s="12" t="str">
        <x:v>Не выпущено</x:v>
      </x:c>
      <x:c r="J646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46" s="33" t="str">
        <x:v>https://www.digikey.com/en/products/detail/stackpole-electronics-inc/RNCF0603BTE100K/16890122; https://www.seielect.com/Catalog/SEI-RNCF.pdf</x:v>
      </x:c>
      <x:c r="L646" s="33" t="str"/>
    </x:row>
    <x:row r="647" ht="38" customHeight="1">
      <x:c r="A647" s="2" t="str">
        <x:v>R749</x:v>
      </x:c>
      <x:c r="B647" s="2" t="str">
        <x:v>100k 0.1%</x:v>
      </x:c>
      <x:c r="C647" s="2" t="str">
        <x:v>Да</x:v>
      </x:c>
      <x:c r="D647" s="8" t="str">
        <x:v>RNCF0603BTE100K</x:v>
      </x:c>
      <x:c r="E647" s="2" t="str">
        <x:v>Stackpole Electronics</x:v>
      </x:c>
      <x:c r="F647" s="8" t="str">
        <x:v>0603</x:v>
      </x:c>
      <x:c r="G647" s="2" t="str">
        <x:v>SURFACE_MOUNT</x:v>
      </x:c>
      <x:c r="H647" s="2" t="str">
        <x:v>SELECTED_CATALOG_ITEM</x:v>
      </x:c>
      <x:c r="I647" s="2" t="str">
        <x:v>Не выпущено</x:v>
      </x:c>
      <x:c r="J647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47" s="31" t="str">
        <x:v>https://www.digikey.com/en/products/detail/stackpole-electronics-inc/RNCF0603BTE100K/16890122; https://www.seielect.com/Catalog/SEI-RNCF.pdf</x:v>
      </x:c>
      <x:c r="L647" s="31" t="str"/>
    </x:row>
    <x:row r="648" ht="38" customHeight="1">
      <x:c r="A648" s="12" t="str">
        <x:v>R750</x:v>
      </x:c>
      <x:c r="B648" s="12" t="str">
        <x:v>1k</x:v>
      </x:c>
      <x:c r="C648" s="12" t="str">
        <x:v>Да</x:v>
      </x:c>
      <x:c r="D648" s="11" t="str">
        <x:v>CRCW06031K00FKEA</x:v>
      </x:c>
      <x:c r="E648" s="12" t="str">
        <x:v>Vishay</x:v>
      </x:c>
      <x:c r="F648" s="11" t="str">
        <x:v>0603</x:v>
      </x:c>
      <x:c r="G648" s="12" t="str">
        <x:v>SURFACE_MOUNT</x:v>
      </x:c>
      <x:c r="H648" s="12" t="str">
        <x:v>SELECTED_FAMILY_CODE</x:v>
      </x:c>
      <x:c r="I648" s="12" t="str">
        <x:v>Не выпущено</x:v>
      </x:c>
      <x:c r="J648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48" s="33" t="str">
        <x:v>https://www.vishay.com/docs/20035/dcrcwe3.pdf</x:v>
      </x:c>
      <x:c r="L648" s="33" t="str"/>
    </x:row>
    <x:row r="649" ht="38" customHeight="1">
      <x:c r="A649" s="2" t="str">
        <x:v>R751</x:v>
      </x:c>
      <x:c r="B649" s="2" t="str">
        <x:v>2.49k DNP</x:v>
      </x:c>
      <x:c r="C649" s="2" t="str">
        <x:v>DNP</x:v>
      </x:c>
      <x:c r="D649" s="8" t="str"/>
      <x:c r="E649" s="2" t="str"/>
      <x:c r="F649" s="8" t="str">
        <x:v>Resistor_SMD:R_0603_1608Metric</x:v>
      </x:c>
      <x:c r="G649" s="2" t="str">
        <x:v>SURFACE_MOUNT</x:v>
      </x:c>
      <x:c r="H649" s="2" t="str">
        <x:v>Исключено из закупки</x:v>
      </x:c>
      <x:c r="I649" s="2" t="str">
        <x:v>Нет</x:v>
      </x:c>
      <x:c r="J649" s="31" t="str"/>
      <x:c r="K649" s="31" t="str"/>
      <x:c r="L649" s="31" t="str"/>
    </x:row>
    <x:row r="650" ht="38" customHeight="1">
      <x:c r="A650" s="12" t="str">
        <x:v>R752</x:v>
      </x:c>
      <x:c r="B650" s="12" t="str">
        <x:v>2.49k DNP</x:v>
      </x:c>
      <x:c r="C650" s="12" t="str">
        <x:v>DNP</x:v>
      </x:c>
      <x:c r="D650" s="11" t="str"/>
      <x:c r="E650" s="12" t="str"/>
      <x:c r="F650" s="11" t="str">
        <x:v>Resistor_SMD:R_0603_1608Metric</x:v>
      </x:c>
      <x:c r="G650" s="12" t="str">
        <x:v>SURFACE_MOUNT</x:v>
      </x:c>
      <x:c r="H650" s="12" t="str">
        <x:v>Исключено из закупки</x:v>
      </x:c>
      <x:c r="I650" s="12" t="str">
        <x:v>Нет</x:v>
      </x:c>
      <x:c r="J650" s="33" t="str"/>
      <x:c r="K650" s="33" t="str"/>
      <x:c r="L650" s="33" t="str"/>
    </x:row>
    <x:row r="651" ht="38" customHeight="1">
      <x:c r="A651" s="2" t="str">
        <x:v>R753</x:v>
      </x:c>
      <x:c r="B651" s="2" t="str">
        <x:v>2.49k DNP</x:v>
      </x:c>
      <x:c r="C651" s="2" t="str">
        <x:v>DNP</x:v>
      </x:c>
      <x:c r="D651" s="8" t="str"/>
      <x:c r="E651" s="2" t="str"/>
      <x:c r="F651" s="8" t="str">
        <x:v>Resistor_SMD:R_0603_1608Metric</x:v>
      </x:c>
      <x:c r="G651" s="2" t="str">
        <x:v>SURFACE_MOUNT</x:v>
      </x:c>
      <x:c r="H651" s="2" t="str">
        <x:v>Исключено из закупки</x:v>
      </x:c>
      <x:c r="I651" s="2" t="str">
        <x:v>Нет</x:v>
      </x:c>
      <x:c r="J651" s="31" t="str"/>
      <x:c r="K651" s="31" t="str"/>
      <x:c r="L651" s="31" t="str"/>
    </x:row>
    <x:row r="652" ht="38" customHeight="1">
      <x:c r="A652" s="12" t="str">
        <x:v>R760</x:v>
      </x:c>
      <x:c r="B652" s="12" t="str">
        <x:v>10k</x:v>
      </x:c>
      <x:c r="C652" s="12" t="str">
        <x:v>Да</x:v>
      </x:c>
      <x:c r="D652" s="11" t="str">
        <x:v>CRCW060310K0FKEA</x:v>
      </x:c>
      <x:c r="E652" s="12" t="str">
        <x:v>Vishay</x:v>
      </x:c>
      <x:c r="F652" s="11" t="str">
        <x:v>0603</x:v>
      </x:c>
      <x:c r="G652" s="12" t="str">
        <x:v>SURFACE_MOUNT</x:v>
      </x:c>
      <x:c r="H652" s="12" t="str">
        <x:v>SELECTED_FAMILY_CODE</x:v>
      </x:c>
      <x:c r="I652" s="12" t="str">
        <x:v>Не выпущено</x:v>
      </x:c>
      <x:c r="J65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52" s="33" t="str">
        <x:v>https://www.vishay.com/docs/20035/dcrcwe3.pdf</x:v>
      </x:c>
      <x:c r="L652" s="33" t="str"/>
    </x:row>
    <x:row r="653" ht="38" customHeight="1">
      <x:c r="A653" s="2" t="str">
        <x:v>R761</x:v>
      </x:c>
      <x:c r="B653" s="2" t="str">
        <x:v>47k</x:v>
      </x:c>
      <x:c r="C653" s="2" t="str">
        <x:v>Да</x:v>
      </x:c>
      <x:c r="D653" s="8" t="str">
        <x:v>CRCW060347K0FKEA</x:v>
      </x:c>
      <x:c r="E653" s="2" t="str">
        <x:v>Vishay</x:v>
      </x:c>
      <x:c r="F653" s="8" t="str">
        <x:v>0603</x:v>
      </x:c>
      <x:c r="G653" s="2" t="str">
        <x:v>SURFACE_MOUNT</x:v>
      </x:c>
      <x:c r="H653" s="2" t="str">
        <x:v>SELECTED_FAMILY_CODE</x:v>
      </x:c>
      <x:c r="I653" s="2" t="str">
        <x:v>Не выпущено</x:v>
      </x:c>
      <x:c r="J653" s="31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53" s="31" t="str">
        <x:v>https://www.vishay.com/docs/20035/dcrcwe3.pdf</x:v>
      </x:c>
      <x:c r="L653" s="31" t="str"/>
    </x:row>
    <x:row r="654" ht="38" customHeight="1">
      <x:c r="A654" s="12" t="str">
        <x:v>R762</x:v>
      </x:c>
      <x:c r="B654" s="12" t="str">
        <x:v>10k DNP</x:v>
      </x:c>
      <x:c r="C654" s="12" t="str">
        <x:v>DNP</x:v>
      </x:c>
      <x:c r="D654" s="11" t="str"/>
      <x:c r="E654" s="12" t="str"/>
      <x:c r="F654" s="11" t="str">
        <x:v>Resistor_SMD:R_0603_1608Metric</x:v>
      </x:c>
      <x:c r="G654" s="12" t="str">
        <x:v>SURFACE_MOUNT</x:v>
      </x:c>
      <x:c r="H654" s="12" t="str">
        <x:v>Исключено из закупки</x:v>
      </x:c>
      <x:c r="I654" s="12" t="str">
        <x:v>Нет</x:v>
      </x:c>
      <x:c r="J654" s="33" t="str"/>
      <x:c r="K654" s="33" t="str"/>
      <x:c r="L654" s="33" t="str"/>
    </x:row>
    <x:row r="655" ht="38" customHeight="1">
      <x:c r="A655" s="2" t="str">
        <x:v>R763</x:v>
      </x:c>
      <x:c r="B655" s="2" t="str">
        <x:v>10k</x:v>
      </x:c>
      <x:c r="C655" s="2" t="str">
        <x:v>Да</x:v>
      </x:c>
      <x:c r="D655" s="8" t="str">
        <x:v>CRCW060310K0FKEA</x:v>
      </x:c>
      <x:c r="E655" s="2" t="str">
        <x:v>Vishay</x:v>
      </x:c>
      <x:c r="F655" s="8" t="str">
        <x:v>0603</x:v>
      </x:c>
      <x:c r="G655" s="2" t="str">
        <x:v>SURFACE_MOUNT</x:v>
      </x:c>
      <x:c r="H655" s="2" t="str">
        <x:v>SELECTED_FAMILY_CODE</x:v>
      </x:c>
      <x:c r="I655" s="2" t="str">
        <x:v>Не выпущено</x:v>
      </x:c>
      <x:c r="J65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55" s="31" t="str">
        <x:v>https://www.vishay.com/docs/20035/dcrcwe3.pdf</x:v>
      </x:c>
      <x:c r="L655" s="31" t="str"/>
    </x:row>
    <x:row r="656" ht="38" customHeight="1">
      <x:c r="A656" s="12" t="str">
        <x:v>R764</x:v>
      </x:c>
      <x:c r="B656" s="12" t="str">
        <x:v>47k</x:v>
      </x:c>
      <x:c r="C656" s="12" t="str">
        <x:v>Да</x:v>
      </x:c>
      <x:c r="D656" s="11" t="str">
        <x:v>CRCW060347K0FKEA</x:v>
      </x:c>
      <x:c r="E656" s="12" t="str">
        <x:v>Vishay</x:v>
      </x:c>
      <x:c r="F656" s="11" t="str">
        <x:v>0603</x:v>
      </x:c>
      <x:c r="G656" s="12" t="str">
        <x:v>SURFACE_MOUNT</x:v>
      </x:c>
      <x:c r="H656" s="12" t="str">
        <x:v>SELECTED_FAMILY_CODE</x:v>
      </x:c>
      <x:c r="I656" s="12" t="str">
        <x:v>Не выпущено</x:v>
      </x:c>
      <x:c r="J656" s="33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56" s="33" t="str">
        <x:v>https://www.vishay.com/docs/20035/dcrcwe3.pdf</x:v>
      </x:c>
      <x:c r="L656" s="33" t="str"/>
    </x:row>
    <x:row r="657" ht="38" customHeight="1">
      <x:c r="A657" s="2" t="str">
        <x:v>R765</x:v>
      </x:c>
      <x:c r="B657" s="2" t="str">
        <x:v>10k DNP</x:v>
      </x:c>
      <x:c r="C657" s="2" t="str">
        <x:v>DNP</x:v>
      </x:c>
      <x:c r="D657" s="8" t="str"/>
      <x:c r="E657" s="2" t="str"/>
      <x:c r="F657" s="8" t="str">
        <x:v>Resistor_SMD:R_0603_1608Metric</x:v>
      </x:c>
      <x:c r="G657" s="2" t="str">
        <x:v>SURFACE_MOUNT</x:v>
      </x:c>
      <x:c r="H657" s="2" t="str">
        <x:v>Исключено из закупки</x:v>
      </x:c>
      <x:c r="I657" s="2" t="str">
        <x:v>Нет</x:v>
      </x:c>
      <x:c r="J657" s="31" t="str"/>
      <x:c r="K657" s="31" t="str"/>
      <x:c r="L657" s="31" t="str"/>
    </x:row>
    <x:row r="658" ht="38" customHeight="1">
      <x:c r="A658" s="12" t="str">
        <x:v>R766</x:v>
      </x:c>
      <x:c r="B658" s="12" t="str">
        <x:v>10k</x:v>
      </x:c>
      <x:c r="C658" s="12" t="str">
        <x:v>Да</x:v>
      </x:c>
      <x:c r="D658" s="11" t="str">
        <x:v>CRCW060310K0FKEA</x:v>
      </x:c>
      <x:c r="E658" s="12" t="str">
        <x:v>Vishay</x:v>
      </x:c>
      <x:c r="F658" s="11" t="str">
        <x:v>0603</x:v>
      </x:c>
      <x:c r="G658" s="12" t="str">
        <x:v>SURFACE_MOUNT</x:v>
      </x:c>
      <x:c r="H658" s="12" t="str">
        <x:v>SELECTED_FAMILY_CODE</x:v>
      </x:c>
      <x:c r="I658" s="12" t="str">
        <x:v>Не выпущено</x:v>
      </x:c>
      <x:c r="J658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58" s="33" t="str">
        <x:v>https://www.vishay.com/docs/20035/dcrcwe3.pdf</x:v>
      </x:c>
      <x:c r="L658" s="33" t="str"/>
    </x:row>
    <x:row r="659" ht="38" customHeight="1">
      <x:c r="A659" s="2" t="str">
        <x:v>R767</x:v>
      </x:c>
      <x:c r="B659" s="2" t="str">
        <x:v>47k</x:v>
      </x:c>
      <x:c r="C659" s="2" t="str">
        <x:v>Да</x:v>
      </x:c>
      <x:c r="D659" s="8" t="str">
        <x:v>CRCW060347K0FKEA</x:v>
      </x:c>
      <x:c r="E659" s="2" t="str">
        <x:v>Vishay</x:v>
      </x:c>
      <x:c r="F659" s="8" t="str">
        <x:v>0603</x:v>
      </x:c>
      <x:c r="G659" s="2" t="str">
        <x:v>SURFACE_MOUNT</x:v>
      </x:c>
      <x:c r="H659" s="2" t="str">
        <x:v>SELECTED_FAMILY_CODE</x:v>
      </x:c>
      <x:c r="I659" s="2" t="str">
        <x:v>Не выпущено</x:v>
      </x:c>
      <x:c r="J659" s="31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59" s="31" t="str">
        <x:v>https://www.vishay.com/docs/20035/dcrcwe3.pdf</x:v>
      </x:c>
      <x:c r="L659" s="31" t="str"/>
    </x:row>
    <x:row r="660" ht="38" customHeight="1">
      <x:c r="A660" s="12" t="str">
        <x:v>R768</x:v>
      </x:c>
      <x:c r="B660" s="12" t="str">
        <x:v>10k DNP</x:v>
      </x:c>
      <x:c r="C660" s="12" t="str">
        <x:v>DNP</x:v>
      </x:c>
      <x:c r="D660" s="11" t="str"/>
      <x:c r="E660" s="12" t="str"/>
      <x:c r="F660" s="11" t="str">
        <x:v>Resistor_SMD:R_0603_1608Metric</x:v>
      </x:c>
      <x:c r="G660" s="12" t="str">
        <x:v>SURFACE_MOUNT</x:v>
      </x:c>
      <x:c r="H660" s="12" t="str">
        <x:v>Исключено из закупки</x:v>
      </x:c>
      <x:c r="I660" s="12" t="str">
        <x:v>Нет</x:v>
      </x:c>
      <x:c r="J660" s="33" t="str"/>
      <x:c r="K660" s="33" t="str"/>
      <x:c r="L660" s="33" t="str"/>
    </x:row>
    <x:row r="661" ht="38" customHeight="1">
      <x:c r="A661" s="2" t="str">
        <x:v>R769</x:v>
      </x:c>
      <x:c r="B661" s="2" t="str">
        <x:v>10k</x:v>
      </x:c>
      <x:c r="C661" s="2" t="str">
        <x:v>Да</x:v>
      </x:c>
      <x:c r="D661" s="8" t="str">
        <x:v>CRCW060310K0FKEA</x:v>
      </x:c>
      <x:c r="E661" s="2" t="str">
        <x:v>Vishay</x:v>
      </x:c>
      <x:c r="F661" s="8" t="str">
        <x:v>0603</x:v>
      </x:c>
      <x:c r="G661" s="2" t="str">
        <x:v>SURFACE_MOUNT</x:v>
      </x:c>
      <x:c r="H661" s="2" t="str">
        <x:v>SELECTED_FAMILY_CODE</x:v>
      </x:c>
      <x:c r="I661" s="2" t="str">
        <x:v>Не выпущено</x:v>
      </x:c>
      <x:c r="J661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61" s="31" t="str">
        <x:v>https://www.vishay.com/docs/20035/dcrcwe3.pdf</x:v>
      </x:c>
      <x:c r="L661" s="31" t="str"/>
    </x:row>
    <x:row r="662" ht="38" customHeight="1">
      <x:c r="A662" s="12" t="str">
        <x:v>R770</x:v>
      </x:c>
      <x:c r="B662" s="12" t="str">
        <x:v>47k</x:v>
      </x:c>
      <x:c r="C662" s="12" t="str">
        <x:v>Да</x:v>
      </x:c>
      <x:c r="D662" s="11" t="str">
        <x:v>CRCW060347K0FKEA</x:v>
      </x:c>
      <x:c r="E662" s="12" t="str">
        <x:v>Vishay</x:v>
      </x:c>
      <x:c r="F662" s="11" t="str">
        <x:v>0603</x:v>
      </x:c>
      <x:c r="G662" s="12" t="str">
        <x:v>SURFACE_MOUNT</x:v>
      </x:c>
      <x:c r="H662" s="12" t="str">
        <x:v>SELECTED_FAMILY_CODE</x:v>
      </x:c>
      <x:c r="I662" s="12" t="str">
        <x:v>Не выпущено</x:v>
      </x:c>
      <x:c r="J662" s="33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62" s="33" t="str">
        <x:v>https://www.vishay.com/docs/20035/dcrcwe3.pdf</x:v>
      </x:c>
      <x:c r="L662" s="33" t="str"/>
    </x:row>
    <x:row r="663" ht="38" customHeight="1">
      <x:c r="A663" s="2" t="str">
        <x:v>R771</x:v>
      </x:c>
      <x:c r="B663" s="2" t="str">
        <x:v>10k DNP</x:v>
      </x:c>
      <x:c r="C663" s="2" t="str">
        <x:v>DNP</x:v>
      </x:c>
      <x:c r="D663" s="8" t="str"/>
      <x:c r="E663" s="2" t="str"/>
      <x:c r="F663" s="8" t="str">
        <x:v>Resistor_SMD:R_0603_1608Metric</x:v>
      </x:c>
      <x:c r="G663" s="2" t="str">
        <x:v>SURFACE_MOUNT</x:v>
      </x:c>
      <x:c r="H663" s="2" t="str">
        <x:v>Исключено из закупки</x:v>
      </x:c>
      <x:c r="I663" s="2" t="str">
        <x:v>Нет</x:v>
      </x:c>
      <x:c r="J663" s="31" t="str"/>
      <x:c r="K663" s="31" t="str"/>
      <x:c r="L663" s="31" t="str"/>
    </x:row>
    <x:row r="664" ht="38" customHeight="1">
      <x:c r="A664" s="12" t="str">
        <x:v>R772</x:v>
      </x:c>
      <x:c r="B664" s="12" t="str">
        <x:v>10k</x:v>
      </x:c>
      <x:c r="C664" s="12" t="str">
        <x:v>Да</x:v>
      </x:c>
      <x:c r="D664" s="11" t="str">
        <x:v>CRCW060310K0FKEA</x:v>
      </x:c>
      <x:c r="E664" s="12" t="str">
        <x:v>Vishay</x:v>
      </x:c>
      <x:c r="F664" s="11" t="str">
        <x:v>0603</x:v>
      </x:c>
      <x:c r="G664" s="12" t="str">
        <x:v>SURFACE_MOUNT</x:v>
      </x:c>
      <x:c r="H664" s="12" t="str">
        <x:v>SELECTED_FAMILY_CODE</x:v>
      </x:c>
      <x:c r="I664" s="12" t="str">
        <x:v>Не выпущено</x:v>
      </x:c>
      <x:c r="J664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64" s="33" t="str">
        <x:v>https://www.vishay.com/docs/20035/dcrcwe3.pdf</x:v>
      </x:c>
      <x:c r="L664" s="33" t="str"/>
    </x:row>
    <x:row r="665" ht="38" customHeight="1">
      <x:c r="A665" s="2" t="str">
        <x:v>R773</x:v>
      </x:c>
      <x:c r="B665" s="2" t="str">
        <x:v>47k</x:v>
      </x:c>
      <x:c r="C665" s="2" t="str">
        <x:v>Да</x:v>
      </x:c>
      <x:c r="D665" s="8" t="str">
        <x:v>CRCW060347K0FKEA</x:v>
      </x:c>
      <x:c r="E665" s="2" t="str">
        <x:v>Vishay</x:v>
      </x:c>
      <x:c r="F665" s="8" t="str">
        <x:v>0603</x:v>
      </x:c>
      <x:c r="G665" s="2" t="str">
        <x:v>SURFACE_MOUNT</x:v>
      </x:c>
      <x:c r="H665" s="2" t="str">
        <x:v>SELECTED_FAMILY_CODE</x:v>
      </x:c>
      <x:c r="I665" s="2" t="str">
        <x:v>Не выпущено</x:v>
      </x:c>
      <x:c r="J665" s="31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65" s="31" t="str">
        <x:v>https://www.vishay.com/docs/20035/dcrcwe3.pdf</x:v>
      </x:c>
      <x:c r="L665" s="31" t="str"/>
    </x:row>
    <x:row r="666" ht="38" customHeight="1">
      <x:c r="A666" s="12" t="str">
        <x:v>R774</x:v>
      </x:c>
      <x:c r="B666" s="12" t="str">
        <x:v>10k DNP</x:v>
      </x:c>
      <x:c r="C666" s="12" t="str">
        <x:v>DNP</x:v>
      </x:c>
      <x:c r="D666" s="11" t="str"/>
      <x:c r="E666" s="12" t="str"/>
      <x:c r="F666" s="11" t="str">
        <x:v>Resistor_SMD:R_0603_1608Metric</x:v>
      </x:c>
      <x:c r="G666" s="12" t="str">
        <x:v>SURFACE_MOUNT</x:v>
      </x:c>
      <x:c r="H666" s="12" t="str">
        <x:v>Исключено из закупки</x:v>
      </x:c>
      <x:c r="I666" s="12" t="str">
        <x:v>Нет</x:v>
      </x:c>
      <x:c r="J666" s="33" t="str"/>
      <x:c r="K666" s="33" t="str"/>
      <x:c r="L666" s="33" t="str"/>
    </x:row>
    <x:row r="667" ht="38" customHeight="1">
      <x:c r="A667" s="2" t="str">
        <x:v>R775</x:v>
      </x:c>
      <x:c r="B667" s="2" t="str">
        <x:v>10k</x:v>
      </x:c>
      <x:c r="C667" s="2" t="str">
        <x:v>Да</x:v>
      </x:c>
      <x:c r="D667" s="8" t="str">
        <x:v>CRCW060310K0FKEA</x:v>
      </x:c>
      <x:c r="E667" s="2" t="str">
        <x:v>Vishay</x:v>
      </x:c>
      <x:c r="F667" s="8" t="str">
        <x:v>0603</x:v>
      </x:c>
      <x:c r="G667" s="2" t="str">
        <x:v>SURFACE_MOUNT</x:v>
      </x:c>
      <x:c r="H667" s="2" t="str">
        <x:v>SELECTED_FAMILY_CODE</x:v>
      </x:c>
      <x:c r="I667" s="2" t="str">
        <x:v>Не выпущено</x:v>
      </x:c>
      <x:c r="J66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67" s="31" t="str">
        <x:v>https://www.vishay.com/docs/20035/dcrcwe3.pdf</x:v>
      </x:c>
      <x:c r="L667" s="31" t="str"/>
    </x:row>
    <x:row r="668" ht="38" customHeight="1">
      <x:c r="A668" s="12" t="str">
        <x:v>R776</x:v>
      </x:c>
      <x:c r="B668" s="12" t="str">
        <x:v>47k</x:v>
      </x:c>
      <x:c r="C668" s="12" t="str">
        <x:v>Да</x:v>
      </x:c>
      <x:c r="D668" s="11" t="str">
        <x:v>CRCW060347K0FKEA</x:v>
      </x:c>
      <x:c r="E668" s="12" t="str">
        <x:v>Vishay</x:v>
      </x:c>
      <x:c r="F668" s="11" t="str">
        <x:v>0603</x:v>
      </x:c>
      <x:c r="G668" s="12" t="str">
        <x:v>SURFACE_MOUNT</x:v>
      </x:c>
      <x:c r="H668" s="12" t="str">
        <x:v>SELECTED_FAMILY_CODE</x:v>
      </x:c>
      <x:c r="I668" s="12" t="str">
        <x:v>Не выпущено</x:v>
      </x:c>
      <x:c r="J668" s="33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68" s="33" t="str">
        <x:v>https://www.vishay.com/docs/20035/dcrcwe3.pdf</x:v>
      </x:c>
      <x:c r="L668" s="33" t="str"/>
    </x:row>
    <x:row r="669" ht="38" customHeight="1">
      <x:c r="A669" s="2" t="str">
        <x:v>R777</x:v>
      </x:c>
      <x:c r="B669" s="2" t="str">
        <x:v>10k DNP</x:v>
      </x:c>
      <x:c r="C669" s="2" t="str">
        <x:v>DNP</x:v>
      </x:c>
      <x:c r="D669" s="8" t="str"/>
      <x:c r="E669" s="2" t="str"/>
      <x:c r="F669" s="8" t="str">
        <x:v>Resistor_SMD:R_0603_1608Metric</x:v>
      </x:c>
      <x:c r="G669" s="2" t="str">
        <x:v>SURFACE_MOUNT</x:v>
      </x:c>
      <x:c r="H669" s="2" t="str">
        <x:v>Исключено из закупки</x:v>
      </x:c>
      <x:c r="I669" s="2" t="str">
        <x:v>Нет</x:v>
      </x:c>
      <x:c r="J669" s="31" t="str"/>
      <x:c r="K669" s="31" t="str"/>
      <x:c r="L669" s="31" t="str"/>
    </x:row>
    <x:row r="670" ht="38" customHeight="1">
      <x:c r="A670" s="12" t="str">
        <x:v>R778</x:v>
      </x:c>
      <x:c r="B670" s="12" t="str">
        <x:v>10k</x:v>
      </x:c>
      <x:c r="C670" s="12" t="str">
        <x:v>Да</x:v>
      </x:c>
      <x:c r="D670" s="11" t="str">
        <x:v>CRCW060310K0FKEA</x:v>
      </x:c>
      <x:c r="E670" s="12" t="str">
        <x:v>Vishay</x:v>
      </x:c>
      <x:c r="F670" s="11" t="str">
        <x:v>0603</x:v>
      </x:c>
      <x:c r="G670" s="12" t="str">
        <x:v>SURFACE_MOUNT</x:v>
      </x:c>
      <x:c r="H670" s="12" t="str">
        <x:v>SELECTED_FAMILY_CODE</x:v>
      </x:c>
      <x:c r="I670" s="12" t="str">
        <x:v>Не выпущено</x:v>
      </x:c>
      <x:c r="J67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70" s="33" t="str">
        <x:v>https://www.vishay.com/docs/20035/dcrcwe3.pdf</x:v>
      </x:c>
      <x:c r="L670" s="33" t="str"/>
    </x:row>
    <x:row r="671" ht="38" customHeight="1">
      <x:c r="A671" s="2" t="str">
        <x:v>R779</x:v>
      </x:c>
      <x:c r="B671" s="2" t="str">
        <x:v>47k</x:v>
      </x:c>
      <x:c r="C671" s="2" t="str">
        <x:v>Да</x:v>
      </x:c>
      <x:c r="D671" s="8" t="str">
        <x:v>CRCW060347K0FKEA</x:v>
      </x:c>
      <x:c r="E671" s="2" t="str">
        <x:v>Vishay</x:v>
      </x:c>
      <x:c r="F671" s="8" t="str">
        <x:v>0603</x:v>
      </x:c>
      <x:c r="G671" s="2" t="str">
        <x:v>SURFACE_MOUNT</x:v>
      </x:c>
      <x:c r="H671" s="2" t="str">
        <x:v>SELECTED_FAMILY_CODE</x:v>
      </x:c>
      <x:c r="I671" s="2" t="str">
        <x:v>Не выпущено</x:v>
      </x:c>
      <x:c r="J671" s="31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71" s="31" t="str">
        <x:v>https://www.vishay.com/docs/20035/dcrcwe3.pdf</x:v>
      </x:c>
      <x:c r="L671" s="31" t="str"/>
    </x:row>
    <x:row r="672" ht="38" customHeight="1">
      <x:c r="A672" s="12" t="str">
        <x:v>R780</x:v>
      </x:c>
      <x:c r="B672" s="12" t="str">
        <x:v>10k DNP</x:v>
      </x:c>
      <x:c r="C672" s="12" t="str">
        <x:v>DNP</x:v>
      </x:c>
      <x:c r="D672" s="11" t="str"/>
      <x:c r="E672" s="12" t="str"/>
      <x:c r="F672" s="11" t="str">
        <x:v>Resistor_SMD:R_0603_1608Metric</x:v>
      </x:c>
      <x:c r="G672" s="12" t="str">
        <x:v>SURFACE_MOUNT</x:v>
      </x:c>
      <x:c r="H672" s="12" t="str">
        <x:v>Исключено из закупки</x:v>
      </x:c>
      <x:c r="I672" s="12" t="str">
        <x:v>Нет</x:v>
      </x:c>
      <x:c r="J672" s="33" t="str"/>
      <x:c r="K672" s="33" t="str"/>
      <x:c r="L672" s="33" t="str"/>
    </x:row>
    <x:row r="673" ht="38" customHeight="1">
      <x:c r="A673" s="2" t="str">
        <x:v>R781</x:v>
      </x:c>
      <x:c r="B673" s="2" t="str">
        <x:v>10k</x:v>
      </x:c>
      <x:c r="C673" s="2" t="str">
        <x:v>Да</x:v>
      </x:c>
      <x:c r="D673" s="8" t="str">
        <x:v>CRCW060310K0FKEA</x:v>
      </x:c>
      <x:c r="E673" s="2" t="str">
        <x:v>Vishay</x:v>
      </x:c>
      <x:c r="F673" s="8" t="str">
        <x:v>0603</x:v>
      </x:c>
      <x:c r="G673" s="2" t="str">
        <x:v>SURFACE_MOUNT</x:v>
      </x:c>
      <x:c r="H673" s="2" t="str">
        <x:v>SELECTED_FAMILY_CODE</x:v>
      </x:c>
      <x:c r="I673" s="2" t="str">
        <x:v>Не выпущено</x:v>
      </x:c>
      <x:c r="J67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73" s="31" t="str">
        <x:v>https://www.vishay.com/docs/20035/dcrcwe3.pdf</x:v>
      </x:c>
      <x:c r="L673" s="31" t="str"/>
    </x:row>
    <x:row r="674" ht="38" customHeight="1">
      <x:c r="A674" s="12" t="str">
        <x:v>R782</x:v>
      </x:c>
      <x:c r="B674" s="12" t="str">
        <x:v>47k</x:v>
      </x:c>
      <x:c r="C674" s="12" t="str">
        <x:v>Да</x:v>
      </x:c>
      <x:c r="D674" s="11" t="str">
        <x:v>CRCW060347K0FKEA</x:v>
      </x:c>
      <x:c r="E674" s="12" t="str">
        <x:v>Vishay</x:v>
      </x:c>
      <x:c r="F674" s="11" t="str">
        <x:v>0603</x:v>
      </x:c>
      <x:c r="G674" s="12" t="str">
        <x:v>SURFACE_MOUNT</x:v>
      </x:c>
      <x:c r="H674" s="12" t="str">
        <x:v>SELECTED_FAMILY_CODE</x:v>
      </x:c>
      <x:c r="I674" s="12" t="str">
        <x:v>Не выпущено</x:v>
      </x:c>
      <x:c r="J674" s="33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74" s="33" t="str">
        <x:v>https://www.vishay.com/docs/20035/dcrcwe3.pdf</x:v>
      </x:c>
      <x:c r="L674" s="33" t="str"/>
    </x:row>
    <x:row r="675" ht="38" customHeight="1">
      <x:c r="A675" s="2" t="str">
        <x:v>R783</x:v>
      </x:c>
      <x:c r="B675" s="2" t="str">
        <x:v>10k DNP</x:v>
      </x:c>
      <x:c r="C675" s="2" t="str">
        <x:v>DNP</x:v>
      </x:c>
      <x:c r="D675" s="8" t="str"/>
      <x:c r="E675" s="2" t="str"/>
      <x:c r="F675" s="8" t="str">
        <x:v>Resistor_SMD:R_0603_1608Metric</x:v>
      </x:c>
      <x:c r="G675" s="2" t="str">
        <x:v>SURFACE_MOUNT</x:v>
      </x:c>
      <x:c r="H675" s="2" t="str">
        <x:v>Исключено из закупки</x:v>
      </x:c>
      <x:c r="I675" s="2" t="str">
        <x:v>Нет</x:v>
      </x:c>
      <x:c r="J675" s="31" t="str"/>
      <x:c r="K675" s="31" t="str"/>
      <x:c r="L675" s="31" t="str"/>
    </x:row>
    <x:row r="676" ht="38" customHeight="1">
      <x:c r="A676" s="12" t="str">
        <x:v>R790</x:v>
      </x:c>
      <x:c r="B676" s="12" t="str">
        <x:v>10k 0.1%</x:v>
      </x:c>
      <x:c r="C676" s="12" t="str">
        <x:v>Да</x:v>
      </x:c>
      <x:c r="D676" s="11" t="str">
        <x:v>RNCF0603BTE10K0</x:v>
      </x:c>
      <x:c r="E676" s="12" t="str">
        <x:v>Stackpole Electronics</x:v>
      </x:c>
      <x:c r="F676" s="11" t="str">
        <x:v>0603</x:v>
      </x:c>
      <x:c r="G676" s="12" t="str">
        <x:v>SURFACE_MOUNT</x:v>
      </x:c>
      <x:c r="H676" s="12" t="str">
        <x:v>SELECTED_CATALOG_ITEM</x:v>
      </x:c>
      <x:c r="I676" s="12" t="str">
        <x:v>Не выпущено</x:v>
      </x:c>
      <x:c r="J676" s="33" t="str">
        <x:v>resistance_ohm: 10000;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76" s="33" t="str">
        <x:v>https://www.digikey.com/en/products/detail/stackpole-electronics-inc/RNCF0603BTE10K0/4250700; https://www.seielect.com/Catalog/SEI-RNCF.pdf</x:v>
      </x:c>
      <x:c r="L676" s="33" t="str"/>
    </x:row>
    <x:row r="677" ht="38" customHeight="1">
      <x:c r="A677" s="2" t="str">
        <x:v>R791</x:v>
      </x:c>
      <x:c r="B677" s="2" t="str">
        <x:v>10k 0.1%</x:v>
      </x:c>
      <x:c r="C677" s="2" t="str">
        <x:v>Да</x:v>
      </x:c>
      <x:c r="D677" s="8" t="str">
        <x:v>RNCF0603BTE10K0</x:v>
      </x:c>
      <x:c r="E677" s="2" t="str">
        <x:v>Stackpole Electronics</x:v>
      </x:c>
      <x:c r="F677" s="8" t="str">
        <x:v>0603</x:v>
      </x:c>
      <x:c r="G677" s="2" t="str">
        <x:v>SURFACE_MOUNT</x:v>
      </x:c>
      <x:c r="H677" s="2" t="str">
        <x:v>SELECTED_CATALOG_ITEM</x:v>
      </x:c>
      <x:c r="I677" s="2" t="str">
        <x:v>Не выпущено</x:v>
      </x:c>
      <x:c r="J677" s="31" t="str">
        <x:v>resistance_ohm: 10000;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677" s="31" t="str">
        <x:v>https://www.digikey.com/en/products/detail/stackpole-electronics-inc/RNCF0603BTE10K0/4250700; https://www.seielect.com/Catalog/SEI-RNCF.pdf</x:v>
      </x:c>
      <x:c r="L677" s="31" t="str"/>
    </x:row>
    <x:row r="678" ht="38" customHeight="1">
      <x:c r="A678" s="12" t="str">
        <x:v>R792</x:v>
      </x:c>
      <x:c r="B678" s="12" t="str">
        <x:v>10k</x:v>
      </x:c>
      <x:c r="C678" s="12" t="str">
        <x:v>Да</x:v>
      </x:c>
      <x:c r="D678" s="11" t="str">
        <x:v>CRCW060310K0FKEA</x:v>
      </x:c>
      <x:c r="E678" s="12" t="str">
        <x:v>Vishay</x:v>
      </x:c>
      <x:c r="F678" s="11" t="str">
        <x:v>0603</x:v>
      </x:c>
      <x:c r="G678" s="12" t="str">
        <x:v>SURFACE_MOUNT</x:v>
      </x:c>
      <x:c r="H678" s="12" t="str">
        <x:v>SELECTED_FAMILY_CODE</x:v>
      </x:c>
      <x:c r="I678" s="12" t="str">
        <x:v>Не выпущено</x:v>
      </x:c>
      <x:c r="J678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78" s="33" t="str">
        <x:v>https://www.vishay.com/docs/20035/dcrcwe3.pdf</x:v>
      </x:c>
      <x:c r="L678" s="33" t="str"/>
    </x:row>
    <x:row r="679" ht="38" customHeight="1">
      <x:c r="A679" s="2" t="str">
        <x:v>R801</x:v>
      </x:c>
      <x:c r="B679" s="2" t="str">
        <x:v>10k 1%</x:v>
      </x:c>
      <x:c r="C679" s="2" t="str">
        <x:v>Да</x:v>
      </x:c>
      <x:c r="D679" s="8" t="str">
        <x:v>CRCW060310K0FKEA</x:v>
      </x:c>
      <x:c r="E679" s="2" t="str">
        <x:v>Vishay</x:v>
      </x:c>
      <x:c r="F679" s="8" t="str">
        <x:v>0603</x:v>
      </x:c>
      <x:c r="G679" s="2" t="str">
        <x:v>SURFACE_MOUNT</x:v>
      </x:c>
      <x:c r="H679" s="2" t="str">
        <x:v>SELECTED_FAMILY_CODE</x:v>
      </x:c>
      <x:c r="I679" s="2" t="str">
        <x:v>Не выпущено</x:v>
      </x:c>
      <x:c r="J67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79" s="31" t="str">
        <x:v>https://www.vishay.com/docs/20035/dcrcwe3.pdf</x:v>
      </x:c>
      <x:c r="L679" s="31" t="str"/>
    </x:row>
    <x:row r="680" ht="38" customHeight="1">
      <x:c r="A680" s="12" t="str">
        <x:v>R802</x:v>
      </x:c>
      <x:c r="B680" s="12" t="str">
        <x:v>10k 1%</x:v>
      </x:c>
      <x:c r="C680" s="12" t="str">
        <x:v>Да</x:v>
      </x:c>
      <x:c r="D680" s="11" t="str">
        <x:v>CRCW060310K0FKEA</x:v>
      </x:c>
      <x:c r="E680" s="12" t="str">
        <x:v>Vishay</x:v>
      </x:c>
      <x:c r="F680" s="11" t="str">
        <x:v>0603</x:v>
      </x:c>
      <x:c r="G680" s="12" t="str">
        <x:v>SURFACE_MOUNT</x:v>
      </x:c>
      <x:c r="H680" s="12" t="str">
        <x:v>SELECTED_FAMILY_CODE</x:v>
      </x:c>
      <x:c r="I680" s="12" t="str">
        <x:v>Не выпущено</x:v>
      </x:c>
      <x:c r="J68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80" s="33" t="str">
        <x:v>https://www.vishay.com/docs/20035/dcrcwe3.pdf</x:v>
      </x:c>
      <x:c r="L680" s="33" t="str"/>
    </x:row>
    <x:row r="681" ht="38" customHeight="1">
      <x:c r="A681" s="2" t="str">
        <x:v>R803</x:v>
      </x:c>
      <x:c r="B681" s="2" t="str">
        <x:v>10k 1%</x:v>
      </x:c>
      <x:c r="C681" s="2" t="str">
        <x:v>Да</x:v>
      </x:c>
      <x:c r="D681" s="8" t="str">
        <x:v>CRCW060310K0FKEA</x:v>
      </x:c>
      <x:c r="E681" s="2" t="str">
        <x:v>Vishay</x:v>
      </x:c>
      <x:c r="F681" s="8" t="str">
        <x:v>0603</x:v>
      </x:c>
      <x:c r="G681" s="2" t="str">
        <x:v>SURFACE_MOUNT</x:v>
      </x:c>
      <x:c r="H681" s="2" t="str">
        <x:v>SELECTED_FAMILY_CODE</x:v>
      </x:c>
      <x:c r="I681" s="2" t="str">
        <x:v>Не выпущено</x:v>
      </x:c>
      <x:c r="J681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81" s="31" t="str">
        <x:v>https://www.vishay.com/docs/20035/dcrcwe3.pdf</x:v>
      </x:c>
      <x:c r="L681" s="31" t="str"/>
    </x:row>
    <x:row r="682" ht="38" customHeight="1">
      <x:c r="A682" s="12" t="str">
        <x:v>R804</x:v>
      </x:c>
      <x:c r="B682" s="12" t="str">
        <x:v>10k 1%</x:v>
      </x:c>
      <x:c r="C682" s="12" t="str">
        <x:v>Да</x:v>
      </x:c>
      <x:c r="D682" s="11" t="str">
        <x:v>CRCW060310K0FKEA</x:v>
      </x:c>
      <x:c r="E682" s="12" t="str">
        <x:v>Vishay</x:v>
      </x:c>
      <x:c r="F682" s="11" t="str">
        <x:v>0603</x:v>
      </x:c>
      <x:c r="G682" s="12" t="str">
        <x:v>SURFACE_MOUNT</x:v>
      </x:c>
      <x:c r="H682" s="12" t="str">
        <x:v>SELECTED_FAMILY_CODE</x:v>
      </x:c>
      <x:c r="I682" s="12" t="str">
        <x:v>Не выпущено</x:v>
      </x:c>
      <x:c r="J68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82" s="33" t="str">
        <x:v>https://www.vishay.com/docs/20035/dcrcwe3.pdf</x:v>
      </x:c>
      <x:c r="L682" s="33" t="str"/>
    </x:row>
    <x:row r="683" ht="38" customHeight="1">
      <x:c r="A683" s="2" t="str">
        <x:v>R805</x:v>
      </x:c>
      <x:c r="B683" s="2" t="str">
        <x:v>10k 1%</x:v>
      </x:c>
      <x:c r="C683" s="2" t="str">
        <x:v>Да</x:v>
      </x:c>
      <x:c r="D683" s="8" t="str">
        <x:v>CRCW060310K0FKEA</x:v>
      </x:c>
      <x:c r="E683" s="2" t="str">
        <x:v>Vishay</x:v>
      </x:c>
      <x:c r="F683" s="8" t="str">
        <x:v>0603</x:v>
      </x:c>
      <x:c r="G683" s="2" t="str">
        <x:v>SURFACE_MOUNT</x:v>
      </x:c>
      <x:c r="H683" s="2" t="str">
        <x:v>SELECTED_FAMILY_CODE</x:v>
      </x:c>
      <x:c r="I683" s="2" t="str">
        <x:v>Не выпущено</x:v>
      </x:c>
      <x:c r="J68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83" s="31" t="str">
        <x:v>https://www.vishay.com/docs/20035/dcrcwe3.pdf</x:v>
      </x:c>
      <x:c r="L683" s="31" t="str"/>
    </x:row>
    <x:row r="684" ht="38" customHeight="1">
      <x:c r="A684" s="12" t="str">
        <x:v>R806</x:v>
      </x:c>
      <x:c r="B684" s="12" t="str">
        <x:v>10k 1%</x:v>
      </x:c>
      <x:c r="C684" s="12" t="str">
        <x:v>Да</x:v>
      </x:c>
      <x:c r="D684" s="11" t="str">
        <x:v>CRCW060310K0FKEA</x:v>
      </x:c>
      <x:c r="E684" s="12" t="str">
        <x:v>Vishay</x:v>
      </x:c>
      <x:c r="F684" s="11" t="str">
        <x:v>0603</x:v>
      </x:c>
      <x:c r="G684" s="12" t="str">
        <x:v>SURFACE_MOUNT</x:v>
      </x:c>
      <x:c r="H684" s="12" t="str">
        <x:v>SELECTED_FAMILY_CODE</x:v>
      </x:c>
      <x:c r="I684" s="12" t="str">
        <x:v>Не выпущено</x:v>
      </x:c>
      <x:c r="J684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84" s="33" t="str">
        <x:v>https://www.vishay.com/docs/20035/dcrcwe3.pdf</x:v>
      </x:c>
      <x:c r="L684" s="33" t="str"/>
    </x:row>
    <x:row r="685" ht="38" customHeight="1">
      <x:c r="A685" s="2" t="str">
        <x:v>R807</x:v>
      </x:c>
      <x:c r="B685" s="2" t="str">
        <x:v>102k 0.1% 25ppm</x:v>
      </x:c>
      <x:c r="C685" s="2" t="str">
        <x:v>Да</x:v>
      </x:c>
      <x:c r="D685" s="8" t="str">
        <x:v>TNPW0603102KBEEA</x:v>
      </x:c>
      <x:c r="E685" s="2" t="str">
        <x:v>Vishay</x:v>
      </x:c>
      <x:c r="F685" s="8" t="str">
        <x:v>0603</x:v>
      </x:c>
      <x:c r="G685" s="2" t="str">
        <x:v>SURFACE_MOUNT</x:v>
      </x:c>
      <x:c r="H685" s="2" t="str">
        <x:v>SELECTED_CATALOG_ITEM</x:v>
      </x:c>
      <x:c r="I685" s="2" t="str">
        <x:v>Не выпущено</x:v>
      </x:c>
      <x:c r="J685" s="31" t="str">
        <x:v>resistance_ohm: 102000; tolerance_pct: 0.1; tcr_ppm_c: 25; power_w: 0.21; working_voltage_v: 75; temperature_min_c: -55; temperature_max_c: 175; technology: thin film; aec_q200: True; derating: Use manufacturer power versus ambient/terminal temperature curve; PCB thermal and fault pulse envelope not qualified.</x:v>
      </x:c>
      <x:c r="K685" s="31" t="str">
        <x:v>https://www.digikey.com/en/products/detail/vishay-dale/TNPW0603102KBEEA/1606996; https://www.vishay.com/docs/28758/tnpw_e3.pdf</x:v>
      </x:c>
      <x:c r="L685" s="31" t="str"/>
    </x:row>
    <x:row r="686" ht="38" customHeight="1">
      <x:c r="A686" s="12" t="str">
        <x:v>R808</x:v>
      </x:c>
      <x:c r="B686" s="12" t="str">
        <x:v>9.76k 0.1% 25ppm</x:v>
      </x:c>
      <x:c r="C686" s="12" t="str">
        <x:v>Да</x:v>
      </x:c>
      <x:c r="D686" s="11" t="str">
        <x:v>TNPW06039K76BEEA</x:v>
      </x:c>
      <x:c r="E686" s="12" t="str">
        <x:v>Vishay</x:v>
      </x:c>
      <x:c r="F686" s="11" t="str">
        <x:v>0603</x:v>
      </x:c>
      <x:c r="G686" s="12" t="str">
        <x:v>SURFACE_MOUNT</x:v>
      </x:c>
      <x:c r="H686" s="12" t="str">
        <x:v>SELECTED_CATALOG_ITEM</x:v>
      </x:c>
      <x:c r="I686" s="12" t="str">
        <x:v>Не выпущено</x:v>
      </x:c>
      <x:c r="J686" s="33" t="str">
        <x:v>resistance_ohm: 9760; tolerance_pct: 0.1; tcr_ppm_c: 25; power_w: 0.21; working_voltage_v: 75; temperature_min_c: -55; temperature_max_c: 175; technology: thin film; aec_q200: True; derating: Use manufacturer power versus ambient/terminal temperature curve; PCB thermal and fault pulse envelope not qualified.</x:v>
      </x:c>
      <x:c r="K686" s="33" t="str">
        <x:v>https://www.digikey.com/en/products/detail/vishay-dale/TNPW06039K76BEEA/1606880; https://www.vishay.com/docs/28758/tnpw_e3.pdf</x:v>
      </x:c>
      <x:c r="L686" s="33" t="str"/>
    </x:row>
    <x:row r="687" ht="38" customHeight="1">
      <x:c r="A687" s="2" t="str">
        <x:v>R1101</x:v>
      </x:c>
      <x:c r="B687" s="2" t="str">
        <x:v>100k</x:v>
      </x:c>
      <x:c r="C687" s="2" t="str">
        <x:v>Да</x:v>
      </x:c>
      <x:c r="D687" s="8" t="str">
        <x:v>CRCW0603100KFKEA</x:v>
      </x:c>
      <x:c r="E687" s="2" t="str">
        <x:v>Vishay</x:v>
      </x:c>
      <x:c r="F687" s="8" t="str">
        <x:v>0603</x:v>
      </x:c>
      <x:c r="G687" s="2" t="str">
        <x:v>SURFACE_MOUNT</x:v>
      </x:c>
      <x:c r="H687" s="2" t="str">
        <x:v>SELECTED_FAMILY_CODE</x:v>
      </x:c>
      <x:c r="I687" s="2" t="str">
        <x:v>Не выпущено</x:v>
      </x:c>
      <x:c r="J687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87" s="31" t="str">
        <x:v>https://www.vishay.com/docs/20035/dcrcwe3.pdf</x:v>
      </x:c>
      <x:c r="L687" s="31" t="str"/>
    </x:row>
    <x:row r="688" ht="38" customHeight="1">
      <x:c r="A688" s="12" t="str">
        <x:v>R1102</x:v>
      </x:c>
      <x:c r="B688" s="12" t="str">
        <x:v>100R</x:v>
      </x:c>
      <x:c r="C688" s="12" t="str">
        <x:v>Да</x:v>
      </x:c>
      <x:c r="D688" s="11" t="str">
        <x:v>CRCW0603100RFKEA</x:v>
      </x:c>
      <x:c r="E688" s="12" t="str">
        <x:v>Vishay</x:v>
      </x:c>
      <x:c r="F688" s="11" t="str">
        <x:v>0603</x:v>
      </x:c>
      <x:c r="G688" s="12" t="str">
        <x:v>SURFACE_MOUNT</x:v>
      </x:c>
      <x:c r="H688" s="12" t="str">
        <x:v>SELECTED_FAMILY_CODE</x:v>
      </x:c>
      <x:c r="I688" s="12" t="str">
        <x:v>Не выпущено</x:v>
      </x:c>
      <x:c r="J688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88" s="33" t="str">
        <x:v>https://www.vishay.com/docs/20035/dcrcwe3.pdf</x:v>
      </x:c>
      <x:c r="L688" s="33" t="str"/>
    </x:row>
    <x:row r="689" ht="38" customHeight="1">
      <x:c r="A689" s="2" t="str">
        <x:v>R1103</x:v>
      </x:c>
      <x:c r="B689" s="2" t="str">
        <x:v>10k</x:v>
      </x:c>
      <x:c r="C689" s="2" t="str">
        <x:v>Да</x:v>
      </x:c>
      <x:c r="D689" s="8" t="str">
        <x:v>CRCW060310K0FKEA</x:v>
      </x:c>
      <x:c r="E689" s="2" t="str">
        <x:v>Vishay</x:v>
      </x:c>
      <x:c r="F689" s="8" t="str">
        <x:v>0603</x:v>
      </x:c>
      <x:c r="G689" s="2" t="str">
        <x:v>SURFACE_MOUNT</x:v>
      </x:c>
      <x:c r="H689" s="2" t="str">
        <x:v>SELECTED_FAMILY_CODE</x:v>
      </x:c>
      <x:c r="I689" s="2" t="str">
        <x:v>Не выпущено</x:v>
      </x:c>
      <x:c r="J68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89" s="31" t="str">
        <x:v>https://www.vishay.com/docs/20035/dcrcwe3.pdf</x:v>
      </x:c>
      <x:c r="L689" s="31" t="str"/>
    </x:row>
    <x:row r="690" ht="38" customHeight="1">
      <x:c r="A690" s="12" t="str">
        <x:v>R1104</x:v>
      </x:c>
      <x:c r="B690" s="12" t="str">
        <x:v>100k</x:v>
      </x:c>
      <x:c r="C690" s="12" t="str">
        <x:v>Да</x:v>
      </x:c>
      <x:c r="D690" s="11" t="str">
        <x:v>CRCW0603100KFKEA</x:v>
      </x:c>
      <x:c r="E690" s="12" t="str">
        <x:v>Vishay</x:v>
      </x:c>
      <x:c r="F690" s="11" t="str">
        <x:v>0603</x:v>
      </x:c>
      <x:c r="G690" s="12" t="str">
        <x:v>SURFACE_MOUNT</x:v>
      </x:c>
      <x:c r="H690" s="12" t="str">
        <x:v>SELECTED_FAMILY_CODE</x:v>
      </x:c>
      <x:c r="I690" s="12" t="str">
        <x:v>Не выпущено</x:v>
      </x:c>
      <x:c r="J690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90" s="33" t="str">
        <x:v>https://www.vishay.com/docs/20035/dcrcwe3.pdf</x:v>
      </x:c>
      <x:c r="L690" s="33" t="str"/>
    </x:row>
    <x:row r="691" ht="38" customHeight="1">
      <x:c r="A691" s="2" t="str">
        <x:v>R1105</x:v>
      </x:c>
      <x:c r="B691" s="2" t="str">
        <x:v>100R</x:v>
      </x:c>
      <x:c r="C691" s="2" t="str">
        <x:v>Да</x:v>
      </x:c>
      <x:c r="D691" s="8" t="str">
        <x:v>CRCW0603100RFKEA</x:v>
      </x:c>
      <x:c r="E691" s="2" t="str">
        <x:v>Vishay</x:v>
      </x:c>
      <x:c r="F691" s="8" t="str">
        <x:v>0603</x:v>
      </x:c>
      <x:c r="G691" s="2" t="str">
        <x:v>SURFACE_MOUNT</x:v>
      </x:c>
      <x:c r="H691" s="2" t="str">
        <x:v>SELECTED_FAMILY_CODE</x:v>
      </x:c>
      <x:c r="I691" s="2" t="str">
        <x:v>Не выпущено</x:v>
      </x:c>
      <x:c r="J691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91" s="31" t="str">
        <x:v>https://www.vishay.com/docs/20035/dcrcwe3.pdf</x:v>
      </x:c>
      <x:c r="L691" s="31" t="str"/>
    </x:row>
    <x:row r="692" ht="38" customHeight="1">
      <x:c r="A692" s="12" t="str">
        <x:v>R1106</x:v>
      </x:c>
      <x:c r="B692" s="12" t="str">
        <x:v>10k</x:v>
      </x:c>
      <x:c r="C692" s="12" t="str">
        <x:v>Да</x:v>
      </x:c>
      <x:c r="D692" s="11" t="str">
        <x:v>CRCW060310K0FKEA</x:v>
      </x:c>
      <x:c r="E692" s="12" t="str">
        <x:v>Vishay</x:v>
      </x:c>
      <x:c r="F692" s="11" t="str">
        <x:v>0603</x:v>
      </x:c>
      <x:c r="G692" s="12" t="str">
        <x:v>SURFACE_MOUNT</x:v>
      </x:c>
      <x:c r="H692" s="12" t="str">
        <x:v>SELECTED_FAMILY_CODE</x:v>
      </x:c>
      <x:c r="I692" s="12" t="str">
        <x:v>Не выпущено</x:v>
      </x:c>
      <x:c r="J69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92" s="33" t="str">
        <x:v>https://www.vishay.com/docs/20035/dcrcwe3.pdf</x:v>
      </x:c>
      <x:c r="L692" s="33" t="str"/>
    </x:row>
    <x:row r="693" ht="38" customHeight="1">
      <x:c r="A693" s="2" t="str">
        <x:v>R1107</x:v>
      </x:c>
      <x:c r="B693" s="2" t="str">
        <x:v>100k</x:v>
      </x:c>
      <x:c r="C693" s="2" t="str">
        <x:v>Да</x:v>
      </x:c>
      <x:c r="D693" s="8" t="str">
        <x:v>CRCW0603100KFKEA</x:v>
      </x:c>
      <x:c r="E693" s="2" t="str">
        <x:v>Vishay</x:v>
      </x:c>
      <x:c r="F693" s="8" t="str">
        <x:v>0603</x:v>
      </x:c>
      <x:c r="G693" s="2" t="str">
        <x:v>SURFACE_MOUNT</x:v>
      </x:c>
      <x:c r="H693" s="2" t="str">
        <x:v>SELECTED_FAMILY_CODE</x:v>
      </x:c>
      <x:c r="I693" s="2" t="str">
        <x:v>Не выпущено</x:v>
      </x:c>
      <x:c r="J693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93" s="31" t="str">
        <x:v>https://www.vishay.com/docs/20035/dcrcwe3.pdf</x:v>
      </x:c>
      <x:c r="L693" s="31" t="str"/>
    </x:row>
    <x:row r="694" ht="38" customHeight="1">
      <x:c r="A694" s="12" t="str">
        <x:v>R1108</x:v>
      </x:c>
      <x:c r="B694" s="12" t="str">
        <x:v>100R</x:v>
      </x:c>
      <x:c r="C694" s="12" t="str">
        <x:v>Да</x:v>
      </x:c>
      <x:c r="D694" s="11" t="str">
        <x:v>CRCW0603100RFKEA</x:v>
      </x:c>
      <x:c r="E694" s="12" t="str">
        <x:v>Vishay</x:v>
      </x:c>
      <x:c r="F694" s="11" t="str">
        <x:v>0603</x:v>
      </x:c>
      <x:c r="G694" s="12" t="str">
        <x:v>SURFACE_MOUNT</x:v>
      </x:c>
      <x:c r="H694" s="12" t="str">
        <x:v>SELECTED_FAMILY_CODE</x:v>
      </x:c>
      <x:c r="I694" s="12" t="str">
        <x:v>Не выпущено</x:v>
      </x:c>
      <x:c r="J694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94" s="33" t="str">
        <x:v>https://www.vishay.com/docs/20035/dcrcwe3.pdf</x:v>
      </x:c>
      <x:c r="L694" s="33" t="str"/>
    </x:row>
    <x:row r="695" ht="38" customHeight="1">
      <x:c r="A695" s="2" t="str">
        <x:v>R1109</x:v>
      </x:c>
      <x:c r="B695" s="2" t="str">
        <x:v>10k</x:v>
      </x:c>
      <x:c r="C695" s="2" t="str">
        <x:v>Да</x:v>
      </x:c>
      <x:c r="D695" s="8" t="str">
        <x:v>CRCW060310K0FKEA</x:v>
      </x:c>
      <x:c r="E695" s="2" t="str">
        <x:v>Vishay</x:v>
      </x:c>
      <x:c r="F695" s="8" t="str">
        <x:v>0603</x:v>
      </x:c>
      <x:c r="G695" s="2" t="str">
        <x:v>SURFACE_MOUNT</x:v>
      </x:c>
      <x:c r="H695" s="2" t="str">
        <x:v>SELECTED_FAMILY_CODE</x:v>
      </x:c>
      <x:c r="I695" s="2" t="str">
        <x:v>Не выпущено</x:v>
      </x:c>
      <x:c r="J69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95" s="31" t="str">
        <x:v>https://www.vishay.com/docs/20035/dcrcwe3.pdf</x:v>
      </x:c>
      <x:c r="L695" s="31" t="str"/>
    </x:row>
    <x:row r="696" ht="38" customHeight="1">
      <x:c r="A696" s="12" t="str">
        <x:v>R1110</x:v>
      </x:c>
      <x:c r="B696" s="12" t="str">
        <x:v>100k</x:v>
      </x:c>
      <x:c r="C696" s="12" t="str">
        <x:v>Да</x:v>
      </x:c>
      <x:c r="D696" s="11" t="str">
        <x:v>CRCW0603100KFKEA</x:v>
      </x:c>
      <x:c r="E696" s="12" t="str">
        <x:v>Vishay</x:v>
      </x:c>
      <x:c r="F696" s="11" t="str">
        <x:v>0603</x:v>
      </x:c>
      <x:c r="G696" s="12" t="str">
        <x:v>SURFACE_MOUNT</x:v>
      </x:c>
      <x:c r="H696" s="12" t="str">
        <x:v>SELECTED_FAMILY_CODE</x:v>
      </x:c>
      <x:c r="I696" s="12" t="str">
        <x:v>Не выпущено</x:v>
      </x:c>
      <x:c r="J696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96" s="33" t="str">
        <x:v>https://www.vishay.com/docs/20035/dcrcwe3.pdf</x:v>
      </x:c>
      <x:c r="L696" s="33" t="str"/>
    </x:row>
    <x:row r="697" ht="38" customHeight="1">
      <x:c r="A697" s="2" t="str">
        <x:v>R1111</x:v>
      </x:c>
      <x:c r="B697" s="2" t="str">
        <x:v>100R</x:v>
      </x:c>
      <x:c r="C697" s="2" t="str">
        <x:v>Да</x:v>
      </x:c>
      <x:c r="D697" s="8" t="str">
        <x:v>CRCW0603100RFKEA</x:v>
      </x:c>
      <x:c r="E697" s="2" t="str">
        <x:v>Vishay</x:v>
      </x:c>
      <x:c r="F697" s="8" t="str">
        <x:v>0603</x:v>
      </x:c>
      <x:c r="G697" s="2" t="str">
        <x:v>SURFACE_MOUNT</x:v>
      </x:c>
      <x:c r="H697" s="2" t="str">
        <x:v>SELECTED_FAMILY_CODE</x:v>
      </x:c>
      <x:c r="I697" s="2" t="str">
        <x:v>Не выпущено</x:v>
      </x:c>
      <x:c r="J697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97" s="31" t="str">
        <x:v>https://www.vishay.com/docs/20035/dcrcwe3.pdf</x:v>
      </x:c>
      <x:c r="L697" s="31" t="str"/>
    </x:row>
    <x:row r="698" ht="38" customHeight="1">
      <x:c r="A698" s="12" t="str">
        <x:v>R1112</x:v>
      </x:c>
      <x:c r="B698" s="12" t="str">
        <x:v>10k</x:v>
      </x:c>
      <x:c r="C698" s="12" t="str">
        <x:v>Да</x:v>
      </x:c>
      <x:c r="D698" s="11" t="str">
        <x:v>CRCW060310K0FKEA</x:v>
      </x:c>
      <x:c r="E698" s="12" t="str">
        <x:v>Vishay</x:v>
      </x:c>
      <x:c r="F698" s="11" t="str">
        <x:v>0603</x:v>
      </x:c>
      <x:c r="G698" s="12" t="str">
        <x:v>SURFACE_MOUNT</x:v>
      </x:c>
      <x:c r="H698" s="12" t="str">
        <x:v>SELECTED_FAMILY_CODE</x:v>
      </x:c>
      <x:c r="I698" s="12" t="str">
        <x:v>Не выпущено</x:v>
      </x:c>
      <x:c r="J698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98" s="33" t="str">
        <x:v>https://www.vishay.com/docs/20035/dcrcwe3.pdf</x:v>
      </x:c>
      <x:c r="L698" s="33" t="str"/>
    </x:row>
    <x:row r="699" ht="38" customHeight="1">
      <x:c r="A699" s="2" t="str">
        <x:v>R1113</x:v>
      </x:c>
      <x:c r="B699" s="2" t="str">
        <x:v>47R</x:v>
      </x:c>
      <x:c r="C699" s="2" t="str">
        <x:v>Да</x:v>
      </x:c>
      <x:c r="D699" s="8" t="str">
        <x:v>CRCW060347R0FKEA</x:v>
      </x:c>
      <x:c r="E699" s="2" t="str">
        <x:v>Vishay</x:v>
      </x:c>
      <x:c r="F699" s="8" t="str">
        <x:v>0603</x:v>
      </x:c>
      <x:c r="G699" s="2" t="str">
        <x:v>SURFACE_MOUNT</x:v>
      </x:c>
      <x:c r="H699" s="2" t="str">
        <x:v>SELECTED_FAMILY_CODE</x:v>
      </x:c>
      <x:c r="I699" s="2" t="str">
        <x:v>Не выпущено</x:v>
      </x:c>
      <x:c r="J699" s="31" t="str">
        <x:v>resistance_ohm: 47.0;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699" s="31" t="str">
        <x:v>https://www.vishay.com/docs/20035/dcrcwe3.pdf</x:v>
      </x:c>
      <x:c r="L699" s="31" t="str"/>
    </x:row>
    <x:row r="700" ht="38" customHeight="1">
      <x:c r="A700" s="12" t="str">
        <x:v>R1114</x:v>
      </x:c>
      <x:c r="B700" s="12" t="str">
        <x:v>10k</x:v>
      </x:c>
      <x:c r="C700" s="12" t="str">
        <x:v>Да</x:v>
      </x:c>
      <x:c r="D700" s="11" t="str">
        <x:v>CRCW060310K0FKEA</x:v>
      </x:c>
      <x:c r="E700" s="12" t="str">
        <x:v>Vishay</x:v>
      </x:c>
      <x:c r="F700" s="11" t="str">
        <x:v>0603</x:v>
      </x:c>
      <x:c r="G700" s="12" t="str">
        <x:v>SURFACE_MOUNT</x:v>
      </x:c>
      <x:c r="H700" s="12" t="str">
        <x:v>SELECTED_FAMILY_CODE</x:v>
      </x:c>
      <x:c r="I700" s="12" t="str">
        <x:v>Не выпущено</x:v>
      </x:c>
      <x:c r="J70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00" s="33" t="str">
        <x:v>https://www.vishay.com/docs/20035/dcrcwe3.pdf</x:v>
      </x:c>
      <x:c r="L700" s="33" t="str"/>
    </x:row>
    <x:row r="701" ht="38" customHeight="1">
      <x:c r="A701" s="2" t="str">
        <x:v>R1115</x:v>
      </x:c>
      <x:c r="B701" s="2" t="str">
        <x:v>100R</x:v>
      </x:c>
      <x:c r="C701" s="2" t="str">
        <x:v>Да</x:v>
      </x:c>
      <x:c r="D701" s="8" t="str">
        <x:v>CRCW0603100RFKEA</x:v>
      </x:c>
      <x:c r="E701" s="2" t="str">
        <x:v>Vishay</x:v>
      </x:c>
      <x:c r="F701" s="8" t="str">
        <x:v>0603</x:v>
      </x:c>
      <x:c r="G701" s="2" t="str">
        <x:v>SURFACE_MOUNT</x:v>
      </x:c>
      <x:c r="H701" s="2" t="str">
        <x:v>SELECTED_FAMILY_CODE</x:v>
      </x:c>
      <x:c r="I701" s="2" t="str">
        <x:v>Не выпущено</x:v>
      </x:c>
      <x:c r="J701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01" s="31" t="str">
        <x:v>https://www.vishay.com/docs/20035/dcrcwe3.pdf</x:v>
      </x:c>
      <x:c r="L701" s="31" t="str"/>
    </x:row>
    <x:row r="702" ht="38" customHeight="1">
      <x:c r="A702" s="12" t="str">
        <x:v>R1116</x:v>
      </x:c>
      <x:c r="B702" s="12" t="str">
        <x:v>100R</x:v>
      </x:c>
      <x:c r="C702" s="12" t="str">
        <x:v>Да</x:v>
      </x:c>
      <x:c r="D702" s="11" t="str">
        <x:v>CRCW0603100RFKEA</x:v>
      </x:c>
      <x:c r="E702" s="12" t="str">
        <x:v>Vishay</x:v>
      </x:c>
      <x:c r="F702" s="11" t="str">
        <x:v>0603</x:v>
      </x:c>
      <x:c r="G702" s="12" t="str">
        <x:v>SURFACE_MOUNT</x:v>
      </x:c>
      <x:c r="H702" s="12" t="str">
        <x:v>SELECTED_FAMILY_CODE</x:v>
      </x:c>
      <x:c r="I702" s="12" t="str">
        <x:v>Не выпущено</x:v>
      </x:c>
      <x:c r="J702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02" s="33" t="str">
        <x:v>https://www.vishay.com/docs/20035/dcrcwe3.pdf</x:v>
      </x:c>
      <x:c r="L702" s="33" t="str"/>
    </x:row>
    <x:row r="703" ht="38" customHeight="1">
      <x:c r="A703" s="2" t="str">
        <x:v>R1117</x:v>
      </x:c>
      <x:c r="B703" s="2" t="str">
        <x:v>10k</x:v>
      </x:c>
      <x:c r="C703" s="2" t="str">
        <x:v>Да</x:v>
      </x:c>
      <x:c r="D703" s="8" t="str">
        <x:v>CRCW060310K0FKEA</x:v>
      </x:c>
      <x:c r="E703" s="2" t="str">
        <x:v>Vishay</x:v>
      </x:c>
      <x:c r="F703" s="8" t="str">
        <x:v>0603</x:v>
      </x:c>
      <x:c r="G703" s="2" t="str">
        <x:v>SURFACE_MOUNT</x:v>
      </x:c>
      <x:c r="H703" s="2" t="str">
        <x:v>SELECTED_FAMILY_CODE</x:v>
      </x:c>
      <x:c r="I703" s="2" t="str">
        <x:v>Не выпущено</x:v>
      </x:c>
      <x:c r="J70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03" s="31" t="str">
        <x:v>https://www.vishay.com/docs/20035/dcrcwe3.pdf</x:v>
      </x:c>
      <x:c r="L703" s="31" t="str"/>
    </x:row>
    <x:row r="704" ht="38" customHeight="1">
      <x:c r="A704" s="12" t="str">
        <x:v>R1121</x:v>
      </x:c>
      <x:c r="B704" s="12" t="str">
        <x:v>100k</x:v>
      </x:c>
      <x:c r="C704" s="12" t="str">
        <x:v>Да</x:v>
      </x:c>
      <x:c r="D704" s="11" t="str">
        <x:v>CRCW0603100KFKEA</x:v>
      </x:c>
      <x:c r="E704" s="12" t="str">
        <x:v>Vishay</x:v>
      </x:c>
      <x:c r="F704" s="11" t="str">
        <x:v>0603</x:v>
      </x:c>
      <x:c r="G704" s="12" t="str">
        <x:v>SURFACE_MOUNT</x:v>
      </x:c>
      <x:c r="H704" s="12" t="str">
        <x:v>SELECTED_FAMILY_CODE</x:v>
      </x:c>
      <x:c r="I704" s="12" t="str">
        <x:v>Не выпущено</x:v>
      </x:c>
      <x:c r="J704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04" s="33" t="str">
        <x:v>https://www.vishay.com/docs/20035/dcrcwe3.pdf</x:v>
      </x:c>
      <x:c r="L704" s="33" t="str"/>
    </x:row>
    <x:row r="705" ht="38" customHeight="1">
      <x:c r="A705" s="2" t="str">
        <x:v>R1122</x:v>
      </x:c>
      <x:c r="B705" s="2" t="str">
        <x:v>100R</x:v>
      </x:c>
      <x:c r="C705" s="2" t="str">
        <x:v>Да</x:v>
      </x:c>
      <x:c r="D705" s="8" t="str">
        <x:v>CRCW0603100RFKEA</x:v>
      </x:c>
      <x:c r="E705" s="2" t="str">
        <x:v>Vishay</x:v>
      </x:c>
      <x:c r="F705" s="8" t="str">
        <x:v>0603</x:v>
      </x:c>
      <x:c r="G705" s="2" t="str">
        <x:v>SURFACE_MOUNT</x:v>
      </x:c>
      <x:c r="H705" s="2" t="str">
        <x:v>SELECTED_FAMILY_CODE</x:v>
      </x:c>
      <x:c r="I705" s="2" t="str">
        <x:v>Не выпущено</x:v>
      </x:c>
      <x:c r="J705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05" s="31" t="str">
        <x:v>https://www.vishay.com/docs/20035/dcrcwe3.pdf</x:v>
      </x:c>
      <x:c r="L705" s="31" t="str"/>
    </x:row>
    <x:row r="706" ht="38" customHeight="1">
      <x:c r="A706" s="12" t="str">
        <x:v>R1123</x:v>
      </x:c>
      <x:c r="B706" s="12" t="str">
        <x:v>10k</x:v>
      </x:c>
      <x:c r="C706" s="12" t="str">
        <x:v>Да</x:v>
      </x:c>
      <x:c r="D706" s="11" t="str">
        <x:v>CRCW060310K0FKEA</x:v>
      </x:c>
      <x:c r="E706" s="12" t="str">
        <x:v>Vishay</x:v>
      </x:c>
      <x:c r="F706" s="11" t="str">
        <x:v>0603</x:v>
      </x:c>
      <x:c r="G706" s="12" t="str">
        <x:v>SURFACE_MOUNT</x:v>
      </x:c>
      <x:c r="H706" s="12" t="str">
        <x:v>SELECTED_FAMILY_CODE</x:v>
      </x:c>
      <x:c r="I706" s="12" t="str">
        <x:v>Не выпущено</x:v>
      </x:c>
      <x:c r="J70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06" s="33" t="str">
        <x:v>https://www.vishay.com/docs/20035/dcrcwe3.pdf</x:v>
      </x:c>
      <x:c r="L706" s="33" t="str"/>
    </x:row>
    <x:row r="707" ht="38" customHeight="1">
      <x:c r="A707" s="2" t="str">
        <x:v>R1124</x:v>
      </x:c>
      <x:c r="B707" s="2" t="str">
        <x:v>100k</x:v>
      </x:c>
      <x:c r="C707" s="2" t="str">
        <x:v>Да</x:v>
      </x:c>
      <x:c r="D707" s="8" t="str">
        <x:v>CRCW0603100KFKEA</x:v>
      </x:c>
      <x:c r="E707" s="2" t="str">
        <x:v>Vishay</x:v>
      </x:c>
      <x:c r="F707" s="8" t="str">
        <x:v>0603</x:v>
      </x:c>
      <x:c r="G707" s="2" t="str">
        <x:v>SURFACE_MOUNT</x:v>
      </x:c>
      <x:c r="H707" s="2" t="str">
        <x:v>SELECTED_FAMILY_CODE</x:v>
      </x:c>
      <x:c r="I707" s="2" t="str">
        <x:v>Не выпущено</x:v>
      </x:c>
      <x:c r="J707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07" s="31" t="str">
        <x:v>https://www.vishay.com/docs/20035/dcrcwe3.pdf</x:v>
      </x:c>
      <x:c r="L707" s="31" t="str"/>
    </x:row>
    <x:row r="708" ht="38" customHeight="1">
      <x:c r="A708" s="12" t="str">
        <x:v>R1125</x:v>
      </x:c>
      <x:c r="B708" s="12" t="str">
        <x:v>100R</x:v>
      </x:c>
      <x:c r="C708" s="12" t="str">
        <x:v>Да</x:v>
      </x:c>
      <x:c r="D708" s="11" t="str">
        <x:v>CRCW0603100RFKEA</x:v>
      </x:c>
      <x:c r="E708" s="12" t="str">
        <x:v>Vishay</x:v>
      </x:c>
      <x:c r="F708" s="11" t="str">
        <x:v>0603</x:v>
      </x:c>
      <x:c r="G708" s="12" t="str">
        <x:v>SURFACE_MOUNT</x:v>
      </x:c>
      <x:c r="H708" s="12" t="str">
        <x:v>SELECTED_FAMILY_CODE</x:v>
      </x:c>
      <x:c r="I708" s="12" t="str">
        <x:v>Не выпущено</x:v>
      </x:c>
      <x:c r="J708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08" s="33" t="str">
        <x:v>https://www.vishay.com/docs/20035/dcrcwe3.pdf</x:v>
      </x:c>
      <x:c r="L708" s="33" t="str"/>
    </x:row>
    <x:row r="709" ht="38" customHeight="1">
      <x:c r="A709" s="2" t="str">
        <x:v>R1126</x:v>
      </x:c>
      <x:c r="B709" s="2" t="str">
        <x:v>10k</x:v>
      </x:c>
      <x:c r="C709" s="2" t="str">
        <x:v>Да</x:v>
      </x:c>
      <x:c r="D709" s="8" t="str">
        <x:v>CRCW060310K0FKEA</x:v>
      </x:c>
      <x:c r="E709" s="2" t="str">
        <x:v>Vishay</x:v>
      </x:c>
      <x:c r="F709" s="8" t="str">
        <x:v>0603</x:v>
      </x:c>
      <x:c r="G709" s="2" t="str">
        <x:v>SURFACE_MOUNT</x:v>
      </x:c>
      <x:c r="H709" s="2" t="str">
        <x:v>SELECTED_FAMILY_CODE</x:v>
      </x:c>
      <x:c r="I709" s="2" t="str">
        <x:v>Не выпущено</x:v>
      </x:c>
      <x:c r="J70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09" s="31" t="str">
        <x:v>https://www.vishay.com/docs/20035/dcrcwe3.pdf</x:v>
      </x:c>
      <x:c r="L709" s="31" t="str"/>
    </x:row>
    <x:row r="710" ht="38" customHeight="1">
      <x:c r="A710" s="12" t="str">
        <x:v>R1127</x:v>
      </x:c>
      <x:c r="B710" s="12" t="str">
        <x:v>100k</x:v>
      </x:c>
      <x:c r="C710" s="12" t="str">
        <x:v>Да</x:v>
      </x:c>
      <x:c r="D710" s="11" t="str">
        <x:v>CRCW0603100KFKEA</x:v>
      </x:c>
      <x:c r="E710" s="12" t="str">
        <x:v>Vishay</x:v>
      </x:c>
      <x:c r="F710" s="11" t="str">
        <x:v>0603</x:v>
      </x:c>
      <x:c r="G710" s="12" t="str">
        <x:v>SURFACE_MOUNT</x:v>
      </x:c>
      <x:c r="H710" s="12" t="str">
        <x:v>SELECTED_FAMILY_CODE</x:v>
      </x:c>
      <x:c r="I710" s="12" t="str">
        <x:v>Не выпущено</x:v>
      </x:c>
      <x:c r="J710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10" s="33" t="str">
        <x:v>https://www.vishay.com/docs/20035/dcrcwe3.pdf</x:v>
      </x:c>
      <x:c r="L710" s="33" t="str"/>
    </x:row>
    <x:row r="711" ht="38" customHeight="1">
      <x:c r="A711" s="2" t="str">
        <x:v>R1128</x:v>
      </x:c>
      <x:c r="B711" s="2" t="str">
        <x:v>100R</x:v>
      </x:c>
      <x:c r="C711" s="2" t="str">
        <x:v>Да</x:v>
      </x:c>
      <x:c r="D711" s="8" t="str">
        <x:v>CRCW0603100RFKEA</x:v>
      </x:c>
      <x:c r="E711" s="2" t="str">
        <x:v>Vishay</x:v>
      </x:c>
      <x:c r="F711" s="8" t="str">
        <x:v>0603</x:v>
      </x:c>
      <x:c r="G711" s="2" t="str">
        <x:v>SURFACE_MOUNT</x:v>
      </x:c>
      <x:c r="H711" s="2" t="str">
        <x:v>SELECTED_FAMILY_CODE</x:v>
      </x:c>
      <x:c r="I711" s="2" t="str">
        <x:v>Не выпущено</x:v>
      </x:c>
      <x:c r="J711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11" s="31" t="str">
        <x:v>https://www.vishay.com/docs/20035/dcrcwe3.pdf</x:v>
      </x:c>
      <x:c r="L711" s="31" t="str"/>
    </x:row>
    <x:row r="712" ht="38" customHeight="1">
      <x:c r="A712" s="12" t="str">
        <x:v>R1129</x:v>
      </x:c>
      <x:c r="B712" s="12" t="str">
        <x:v>10k</x:v>
      </x:c>
      <x:c r="C712" s="12" t="str">
        <x:v>Да</x:v>
      </x:c>
      <x:c r="D712" s="11" t="str">
        <x:v>CRCW060310K0FKEA</x:v>
      </x:c>
      <x:c r="E712" s="12" t="str">
        <x:v>Vishay</x:v>
      </x:c>
      <x:c r="F712" s="11" t="str">
        <x:v>0603</x:v>
      </x:c>
      <x:c r="G712" s="12" t="str">
        <x:v>SURFACE_MOUNT</x:v>
      </x:c>
      <x:c r="H712" s="12" t="str">
        <x:v>SELECTED_FAMILY_CODE</x:v>
      </x:c>
      <x:c r="I712" s="12" t="str">
        <x:v>Не выпущено</x:v>
      </x:c>
      <x:c r="J71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12" s="33" t="str">
        <x:v>https://www.vishay.com/docs/20035/dcrcwe3.pdf</x:v>
      </x:c>
      <x:c r="L712" s="33" t="str"/>
    </x:row>
    <x:row r="713" ht="38" customHeight="1">
      <x:c r="A713" s="2" t="str">
        <x:v>R1130</x:v>
      </x:c>
      <x:c r="B713" s="2" t="str">
        <x:v>100k</x:v>
      </x:c>
      <x:c r="C713" s="2" t="str">
        <x:v>Да</x:v>
      </x:c>
      <x:c r="D713" s="8" t="str">
        <x:v>CRCW0603100KFKEA</x:v>
      </x:c>
      <x:c r="E713" s="2" t="str">
        <x:v>Vishay</x:v>
      </x:c>
      <x:c r="F713" s="8" t="str">
        <x:v>0603</x:v>
      </x:c>
      <x:c r="G713" s="2" t="str">
        <x:v>SURFACE_MOUNT</x:v>
      </x:c>
      <x:c r="H713" s="2" t="str">
        <x:v>SELECTED_FAMILY_CODE</x:v>
      </x:c>
      <x:c r="I713" s="2" t="str">
        <x:v>Не выпущено</x:v>
      </x:c>
      <x:c r="J713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13" s="31" t="str">
        <x:v>https://www.vishay.com/docs/20035/dcrcwe3.pdf</x:v>
      </x:c>
      <x:c r="L713" s="31" t="str"/>
    </x:row>
    <x:row r="714" ht="38" customHeight="1">
      <x:c r="A714" s="12" t="str">
        <x:v>R1131</x:v>
      </x:c>
      <x:c r="B714" s="12" t="str">
        <x:v>100R</x:v>
      </x:c>
      <x:c r="C714" s="12" t="str">
        <x:v>Да</x:v>
      </x:c>
      <x:c r="D714" s="11" t="str">
        <x:v>CRCW0603100RFKEA</x:v>
      </x:c>
      <x:c r="E714" s="12" t="str">
        <x:v>Vishay</x:v>
      </x:c>
      <x:c r="F714" s="11" t="str">
        <x:v>0603</x:v>
      </x:c>
      <x:c r="G714" s="12" t="str">
        <x:v>SURFACE_MOUNT</x:v>
      </x:c>
      <x:c r="H714" s="12" t="str">
        <x:v>SELECTED_FAMILY_CODE</x:v>
      </x:c>
      <x:c r="I714" s="12" t="str">
        <x:v>Не выпущено</x:v>
      </x:c>
      <x:c r="J714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14" s="33" t="str">
        <x:v>https://www.vishay.com/docs/20035/dcrcwe3.pdf</x:v>
      </x:c>
      <x:c r="L714" s="33" t="str"/>
    </x:row>
    <x:row r="715" ht="38" customHeight="1">
      <x:c r="A715" s="2" t="str">
        <x:v>R1132</x:v>
      </x:c>
      <x:c r="B715" s="2" t="str">
        <x:v>10k</x:v>
      </x:c>
      <x:c r="C715" s="2" t="str">
        <x:v>Да</x:v>
      </x:c>
      <x:c r="D715" s="8" t="str">
        <x:v>CRCW060310K0FKEA</x:v>
      </x:c>
      <x:c r="E715" s="2" t="str">
        <x:v>Vishay</x:v>
      </x:c>
      <x:c r="F715" s="8" t="str">
        <x:v>0603</x:v>
      </x:c>
      <x:c r="G715" s="2" t="str">
        <x:v>SURFACE_MOUNT</x:v>
      </x:c>
      <x:c r="H715" s="2" t="str">
        <x:v>SELECTED_FAMILY_CODE</x:v>
      </x:c>
      <x:c r="I715" s="2" t="str">
        <x:v>Не выпущено</x:v>
      </x:c>
      <x:c r="J71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15" s="31" t="str">
        <x:v>https://www.vishay.com/docs/20035/dcrcwe3.pdf</x:v>
      </x:c>
      <x:c r="L715" s="31" t="str"/>
    </x:row>
    <x:row r="716" ht="38" customHeight="1">
      <x:c r="A716" s="12" t="str">
        <x:v>R1133</x:v>
      </x:c>
      <x:c r="B716" s="12" t="str">
        <x:v>47R</x:v>
      </x:c>
      <x:c r="C716" s="12" t="str">
        <x:v>Да</x:v>
      </x:c>
      <x:c r="D716" s="11" t="str">
        <x:v>CRCW060347R0FKEA</x:v>
      </x:c>
      <x:c r="E716" s="12" t="str">
        <x:v>Vishay</x:v>
      </x:c>
      <x:c r="F716" s="11" t="str">
        <x:v>0603</x:v>
      </x:c>
      <x:c r="G716" s="12" t="str">
        <x:v>SURFACE_MOUNT</x:v>
      </x:c>
      <x:c r="H716" s="12" t="str">
        <x:v>SELECTED_FAMILY_CODE</x:v>
      </x:c>
      <x:c r="I716" s="12" t="str">
        <x:v>Не выпущено</x:v>
      </x:c>
      <x:c r="J716" s="33" t="str">
        <x:v>resistance_ohm: 47.0;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16" s="33" t="str">
        <x:v>https://www.vishay.com/docs/20035/dcrcwe3.pdf</x:v>
      </x:c>
      <x:c r="L716" s="33" t="str"/>
    </x:row>
    <x:row r="717" ht="38" customHeight="1">
      <x:c r="A717" s="2" t="str">
        <x:v>R1134</x:v>
      </x:c>
      <x:c r="B717" s="2" t="str">
        <x:v>10k</x:v>
      </x:c>
      <x:c r="C717" s="2" t="str">
        <x:v>Да</x:v>
      </x:c>
      <x:c r="D717" s="8" t="str">
        <x:v>CRCW060310K0FKEA</x:v>
      </x:c>
      <x:c r="E717" s="2" t="str">
        <x:v>Vishay</x:v>
      </x:c>
      <x:c r="F717" s="8" t="str">
        <x:v>0603</x:v>
      </x:c>
      <x:c r="G717" s="2" t="str">
        <x:v>SURFACE_MOUNT</x:v>
      </x:c>
      <x:c r="H717" s="2" t="str">
        <x:v>SELECTED_FAMILY_CODE</x:v>
      </x:c>
      <x:c r="I717" s="2" t="str">
        <x:v>Не выпущено</x:v>
      </x:c>
      <x:c r="J71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17" s="31" t="str">
        <x:v>https://www.vishay.com/docs/20035/dcrcwe3.pdf</x:v>
      </x:c>
      <x:c r="L717" s="31" t="str"/>
    </x:row>
    <x:row r="718" ht="38" customHeight="1">
      <x:c r="A718" s="12" t="str">
        <x:v>R1135</x:v>
      </x:c>
      <x:c r="B718" s="12" t="str">
        <x:v>100R</x:v>
      </x:c>
      <x:c r="C718" s="12" t="str">
        <x:v>Да</x:v>
      </x:c>
      <x:c r="D718" s="11" t="str">
        <x:v>CRCW0603100RFKEA</x:v>
      </x:c>
      <x:c r="E718" s="12" t="str">
        <x:v>Vishay</x:v>
      </x:c>
      <x:c r="F718" s="11" t="str">
        <x:v>0603</x:v>
      </x:c>
      <x:c r="G718" s="12" t="str">
        <x:v>SURFACE_MOUNT</x:v>
      </x:c>
      <x:c r="H718" s="12" t="str">
        <x:v>SELECTED_FAMILY_CODE</x:v>
      </x:c>
      <x:c r="I718" s="12" t="str">
        <x:v>Не выпущено</x:v>
      </x:c>
      <x:c r="J718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18" s="33" t="str">
        <x:v>https://www.vishay.com/docs/20035/dcrcwe3.pdf</x:v>
      </x:c>
      <x:c r="L718" s="33" t="str"/>
    </x:row>
    <x:row r="719" ht="38" customHeight="1">
      <x:c r="A719" s="2" t="str">
        <x:v>R1136</x:v>
      </x:c>
      <x:c r="B719" s="2" t="str">
        <x:v>100R</x:v>
      </x:c>
      <x:c r="C719" s="2" t="str">
        <x:v>Да</x:v>
      </x:c>
      <x:c r="D719" s="8" t="str">
        <x:v>CRCW0603100RFKEA</x:v>
      </x:c>
      <x:c r="E719" s="2" t="str">
        <x:v>Vishay</x:v>
      </x:c>
      <x:c r="F719" s="8" t="str">
        <x:v>0603</x:v>
      </x:c>
      <x:c r="G719" s="2" t="str">
        <x:v>SURFACE_MOUNT</x:v>
      </x:c>
      <x:c r="H719" s="2" t="str">
        <x:v>SELECTED_FAMILY_CODE</x:v>
      </x:c>
      <x:c r="I719" s="2" t="str">
        <x:v>Не выпущено</x:v>
      </x:c>
      <x:c r="J719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19" s="31" t="str">
        <x:v>https://www.vishay.com/docs/20035/dcrcwe3.pdf</x:v>
      </x:c>
      <x:c r="L719" s="31" t="str"/>
    </x:row>
    <x:row r="720" ht="38" customHeight="1">
      <x:c r="A720" s="12" t="str">
        <x:v>R1137</x:v>
      </x:c>
      <x:c r="B720" s="12" t="str">
        <x:v>10k</x:v>
      </x:c>
      <x:c r="C720" s="12" t="str">
        <x:v>Да</x:v>
      </x:c>
      <x:c r="D720" s="11" t="str">
        <x:v>CRCW060310K0FKEA</x:v>
      </x:c>
      <x:c r="E720" s="12" t="str">
        <x:v>Vishay</x:v>
      </x:c>
      <x:c r="F720" s="11" t="str">
        <x:v>0603</x:v>
      </x:c>
      <x:c r="G720" s="12" t="str">
        <x:v>SURFACE_MOUNT</x:v>
      </x:c>
      <x:c r="H720" s="12" t="str">
        <x:v>SELECTED_FAMILY_CODE</x:v>
      </x:c>
      <x:c r="I720" s="12" t="str">
        <x:v>Не выпущено</x:v>
      </x:c>
      <x:c r="J72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20" s="33" t="str">
        <x:v>https://www.vishay.com/docs/20035/dcrcwe3.pdf</x:v>
      </x:c>
      <x:c r="L720" s="33" t="str"/>
    </x:row>
    <x:row r="721" ht="38" customHeight="1">
      <x:c r="A721" s="2" t="str">
        <x:v>R1141</x:v>
      </x:c>
      <x:c r="B721" s="2" t="str">
        <x:v>100k</x:v>
      </x:c>
      <x:c r="C721" s="2" t="str">
        <x:v>Да</x:v>
      </x:c>
      <x:c r="D721" s="8" t="str">
        <x:v>CRCW0603100KFKEA</x:v>
      </x:c>
      <x:c r="E721" s="2" t="str">
        <x:v>Vishay</x:v>
      </x:c>
      <x:c r="F721" s="8" t="str">
        <x:v>0603</x:v>
      </x:c>
      <x:c r="G721" s="2" t="str">
        <x:v>SURFACE_MOUNT</x:v>
      </x:c>
      <x:c r="H721" s="2" t="str">
        <x:v>SELECTED_FAMILY_CODE</x:v>
      </x:c>
      <x:c r="I721" s="2" t="str">
        <x:v>Не выпущено</x:v>
      </x:c>
      <x:c r="J721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21" s="31" t="str">
        <x:v>https://www.vishay.com/docs/20035/dcrcwe3.pdf</x:v>
      </x:c>
      <x:c r="L721" s="31" t="str"/>
    </x:row>
    <x:row r="722" ht="38" customHeight="1">
      <x:c r="A722" s="12" t="str">
        <x:v>R1142</x:v>
      </x:c>
      <x:c r="B722" s="12" t="str">
        <x:v>100R</x:v>
      </x:c>
      <x:c r="C722" s="12" t="str">
        <x:v>Да</x:v>
      </x:c>
      <x:c r="D722" s="11" t="str">
        <x:v>CRCW0603100RFKEA</x:v>
      </x:c>
      <x:c r="E722" s="12" t="str">
        <x:v>Vishay</x:v>
      </x:c>
      <x:c r="F722" s="11" t="str">
        <x:v>0603</x:v>
      </x:c>
      <x:c r="G722" s="12" t="str">
        <x:v>SURFACE_MOUNT</x:v>
      </x:c>
      <x:c r="H722" s="12" t="str">
        <x:v>SELECTED_FAMILY_CODE</x:v>
      </x:c>
      <x:c r="I722" s="12" t="str">
        <x:v>Не выпущено</x:v>
      </x:c>
      <x:c r="J722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22" s="33" t="str">
        <x:v>https://www.vishay.com/docs/20035/dcrcwe3.pdf</x:v>
      </x:c>
      <x:c r="L722" s="33" t="str"/>
    </x:row>
    <x:row r="723" ht="38" customHeight="1">
      <x:c r="A723" s="2" t="str">
        <x:v>R1143</x:v>
      </x:c>
      <x:c r="B723" s="2" t="str">
        <x:v>10k</x:v>
      </x:c>
      <x:c r="C723" s="2" t="str">
        <x:v>Да</x:v>
      </x:c>
      <x:c r="D723" s="8" t="str">
        <x:v>CRCW060310K0FKEA</x:v>
      </x:c>
      <x:c r="E723" s="2" t="str">
        <x:v>Vishay</x:v>
      </x:c>
      <x:c r="F723" s="8" t="str">
        <x:v>0603</x:v>
      </x:c>
      <x:c r="G723" s="2" t="str">
        <x:v>SURFACE_MOUNT</x:v>
      </x:c>
      <x:c r="H723" s="2" t="str">
        <x:v>SELECTED_FAMILY_CODE</x:v>
      </x:c>
      <x:c r="I723" s="2" t="str">
        <x:v>Не выпущено</x:v>
      </x:c>
      <x:c r="J72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23" s="31" t="str">
        <x:v>https://www.vishay.com/docs/20035/dcrcwe3.pdf</x:v>
      </x:c>
      <x:c r="L723" s="31" t="str"/>
    </x:row>
    <x:row r="724" ht="38" customHeight="1">
      <x:c r="A724" s="12" t="str">
        <x:v>R1144</x:v>
      </x:c>
      <x:c r="B724" s="12" t="str">
        <x:v>100k</x:v>
      </x:c>
      <x:c r="C724" s="12" t="str">
        <x:v>Да</x:v>
      </x:c>
      <x:c r="D724" s="11" t="str">
        <x:v>CRCW0603100KFKEA</x:v>
      </x:c>
      <x:c r="E724" s="12" t="str">
        <x:v>Vishay</x:v>
      </x:c>
      <x:c r="F724" s="11" t="str">
        <x:v>0603</x:v>
      </x:c>
      <x:c r="G724" s="12" t="str">
        <x:v>SURFACE_MOUNT</x:v>
      </x:c>
      <x:c r="H724" s="12" t="str">
        <x:v>SELECTED_FAMILY_CODE</x:v>
      </x:c>
      <x:c r="I724" s="12" t="str">
        <x:v>Не выпущено</x:v>
      </x:c>
      <x:c r="J724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24" s="33" t="str">
        <x:v>https://www.vishay.com/docs/20035/dcrcwe3.pdf</x:v>
      </x:c>
      <x:c r="L724" s="33" t="str"/>
    </x:row>
    <x:row r="725" ht="38" customHeight="1">
      <x:c r="A725" s="2" t="str">
        <x:v>R1145</x:v>
      </x:c>
      <x:c r="B725" s="2" t="str">
        <x:v>100R</x:v>
      </x:c>
      <x:c r="C725" s="2" t="str">
        <x:v>Да</x:v>
      </x:c>
      <x:c r="D725" s="8" t="str">
        <x:v>CRCW0603100RFKEA</x:v>
      </x:c>
      <x:c r="E725" s="2" t="str">
        <x:v>Vishay</x:v>
      </x:c>
      <x:c r="F725" s="8" t="str">
        <x:v>0603</x:v>
      </x:c>
      <x:c r="G725" s="2" t="str">
        <x:v>SURFACE_MOUNT</x:v>
      </x:c>
      <x:c r="H725" s="2" t="str">
        <x:v>SELECTED_FAMILY_CODE</x:v>
      </x:c>
      <x:c r="I725" s="2" t="str">
        <x:v>Не выпущено</x:v>
      </x:c>
      <x:c r="J725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25" s="31" t="str">
        <x:v>https://www.vishay.com/docs/20035/dcrcwe3.pdf</x:v>
      </x:c>
      <x:c r="L725" s="31" t="str"/>
    </x:row>
    <x:row r="726" ht="38" customHeight="1">
      <x:c r="A726" s="12" t="str">
        <x:v>R1146</x:v>
      </x:c>
      <x:c r="B726" s="12" t="str">
        <x:v>10k</x:v>
      </x:c>
      <x:c r="C726" s="12" t="str">
        <x:v>Да</x:v>
      </x:c>
      <x:c r="D726" s="11" t="str">
        <x:v>CRCW060310K0FKEA</x:v>
      </x:c>
      <x:c r="E726" s="12" t="str">
        <x:v>Vishay</x:v>
      </x:c>
      <x:c r="F726" s="11" t="str">
        <x:v>0603</x:v>
      </x:c>
      <x:c r="G726" s="12" t="str">
        <x:v>SURFACE_MOUNT</x:v>
      </x:c>
      <x:c r="H726" s="12" t="str">
        <x:v>SELECTED_FAMILY_CODE</x:v>
      </x:c>
      <x:c r="I726" s="12" t="str">
        <x:v>Не выпущено</x:v>
      </x:c>
      <x:c r="J72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26" s="33" t="str">
        <x:v>https://www.vishay.com/docs/20035/dcrcwe3.pdf</x:v>
      </x:c>
      <x:c r="L726" s="33" t="str"/>
    </x:row>
    <x:row r="727" ht="38" customHeight="1">
      <x:c r="A727" s="2" t="str">
        <x:v>R1147</x:v>
      </x:c>
      <x:c r="B727" s="2" t="str">
        <x:v>100k</x:v>
      </x:c>
      <x:c r="C727" s="2" t="str">
        <x:v>Да</x:v>
      </x:c>
      <x:c r="D727" s="8" t="str">
        <x:v>CRCW0603100KFKEA</x:v>
      </x:c>
      <x:c r="E727" s="2" t="str">
        <x:v>Vishay</x:v>
      </x:c>
      <x:c r="F727" s="8" t="str">
        <x:v>0603</x:v>
      </x:c>
      <x:c r="G727" s="2" t="str">
        <x:v>SURFACE_MOUNT</x:v>
      </x:c>
      <x:c r="H727" s="2" t="str">
        <x:v>SELECTED_FAMILY_CODE</x:v>
      </x:c>
      <x:c r="I727" s="2" t="str">
        <x:v>Не выпущено</x:v>
      </x:c>
      <x:c r="J727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27" s="31" t="str">
        <x:v>https://www.vishay.com/docs/20035/dcrcwe3.pdf</x:v>
      </x:c>
      <x:c r="L727" s="31" t="str"/>
    </x:row>
    <x:row r="728" ht="38" customHeight="1">
      <x:c r="A728" s="12" t="str">
        <x:v>R1148</x:v>
      </x:c>
      <x:c r="B728" s="12" t="str">
        <x:v>100R</x:v>
      </x:c>
      <x:c r="C728" s="12" t="str">
        <x:v>Да</x:v>
      </x:c>
      <x:c r="D728" s="11" t="str">
        <x:v>CRCW0603100RFKEA</x:v>
      </x:c>
      <x:c r="E728" s="12" t="str">
        <x:v>Vishay</x:v>
      </x:c>
      <x:c r="F728" s="11" t="str">
        <x:v>0603</x:v>
      </x:c>
      <x:c r="G728" s="12" t="str">
        <x:v>SURFACE_MOUNT</x:v>
      </x:c>
      <x:c r="H728" s="12" t="str">
        <x:v>SELECTED_FAMILY_CODE</x:v>
      </x:c>
      <x:c r="I728" s="12" t="str">
        <x:v>Не выпущено</x:v>
      </x:c>
      <x:c r="J728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28" s="33" t="str">
        <x:v>https://www.vishay.com/docs/20035/dcrcwe3.pdf</x:v>
      </x:c>
      <x:c r="L728" s="33" t="str"/>
    </x:row>
    <x:row r="729" ht="38" customHeight="1">
      <x:c r="A729" s="2" t="str">
        <x:v>R1149</x:v>
      </x:c>
      <x:c r="B729" s="2" t="str">
        <x:v>10k</x:v>
      </x:c>
      <x:c r="C729" s="2" t="str">
        <x:v>Да</x:v>
      </x:c>
      <x:c r="D729" s="8" t="str">
        <x:v>CRCW060310K0FKEA</x:v>
      </x:c>
      <x:c r="E729" s="2" t="str">
        <x:v>Vishay</x:v>
      </x:c>
      <x:c r="F729" s="8" t="str">
        <x:v>0603</x:v>
      </x:c>
      <x:c r="G729" s="2" t="str">
        <x:v>SURFACE_MOUNT</x:v>
      </x:c>
      <x:c r="H729" s="2" t="str">
        <x:v>SELECTED_FAMILY_CODE</x:v>
      </x:c>
      <x:c r="I729" s="2" t="str">
        <x:v>Не выпущено</x:v>
      </x:c>
      <x:c r="J72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29" s="31" t="str">
        <x:v>https://www.vishay.com/docs/20035/dcrcwe3.pdf</x:v>
      </x:c>
      <x:c r="L729" s="31" t="str"/>
    </x:row>
    <x:row r="730" ht="38" customHeight="1">
      <x:c r="A730" s="12" t="str">
        <x:v>R1150</x:v>
      </x:c>
      <x:c r="B730" s="12" t="str">
        <x:v>100k</x:v>
      </x:c>
      <x:c r="C730" s="12" t="str">
        <x:v>Да</x:v>
      </x:c>
      <x:c r="D730" s="11" t="str">
        <x:v>CRCW0603100KFKEA</x:v>
      </x:c>
      <x:c r="E730" s="12" t="str">
        <x:v>Vishay</x:v>
      </x:c>
      <x:c r="F730" s="11" t="str">
        <x:v>0603</x:v>
      </x:c>
      <x:c r="G730" s="12" t="str">
        <x:v>SURFACE_MOUNT</x:v>
      </x:c>
      <x:c r="H730" s="12" t="str">
        <x:v>SELECTED_FAMILY_CODE</x:v>
      </x:c>
      <x:c r="I730" s="12" t="str">
        <x:v>Не выпущено</x:v>
      </x:c>
      <x:c r="J730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30" s="33" t="str">
        <x:v>https://www.vishay.com/docs/20035/dcrcwe3.pdf</x:v>
      </x:c>
      <x:c r="L730" s="33" t="str"/>
    </x:row>
    <x:row r="731" ht="38" customHeight="1">
      <x:c r="A731" s="2" t="str">
        <x:v>R1151</x:v>
      </x:c>
      <x:c r="B731" s="2" t="str">
        <x:v>100R</x:v>
      </x:c>
      <x:c r="C731" s="2" t="str">
        <x:v>Да</x:v>
      </x:c>
      <x:c r="D731" s="8" t="str">
        <x:v>CRCW0603100RFKEA</x:v>
      </x:c>
      <x:c r="E731" s="2" t="str">
        <x:v>Vishay</x:v>
      </x:c>
      <x:c r="F731" s="8" t="str">
        <x:v>0603</x:v>
      </x:c>
      <x:c r="G731" s="2" t="str">
        <x:v>SURFACE_MOUNT</x:v>
      </x:c>
      <x:c r="H731" s="2" t="str">
        <x:v>SELECTED_FAMILY_CODE</x:v>
      </x:c>
      <x:c r="I731" s="2" t="str">
        <x:v>Не выпущено</x:v>
      </x:c>
      <x:c r="J731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31" s="31" t="str">
        <x:v>https://www.vishay.com/docs/20035/dcrcwe3.pdf</x:v>
      </x:c>
      <x:c r="L731" s="31" t="str"/>
    </x:row>
    <x:row r="732" ht="38" customHeight="1">
      <x:c r="A732" s="12" t="str">
        <x:v>R1152</x:v>
      </x:c>
      <x:c r="B732" s="12" t="str">
        <x:v>10k</x:v>
      </x:c>
      <x:c r="C732" s="12" t="str">
        <x:v>Да</x:v>
      </x:c>
      <x:c r="D732" s="11" t="str">
        <x:v>CRCW060310K0FKEA</x:v>
      </x:c>
      <x:c r="E732" s="12" t="str">
        <x:v>Vishay</x:v>
      </x:c>
      <x:c r="F732" s="11" t="str">
        <x:v>0603</x:v>
      </x:c>
      <x:c r="G732" s="12" t="str">
        <x:v>SURFACE_MOUNT</x:v>
      </x:c>
      <x:c r="H732" s="12" t="str">
        <x:v>SELECTED_FAMILY_CODE</x:v>
      </x:c>
      <x:c r="I732" s="12" t="str">
        <x:v>Не выпущено</x:v>
      </x:c>
      <x:c r="J73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32" s="33" t="str">
        <x:v>https://www.vishay.com/docs/20035/dcrcwe3.pdf</x:v>
      </x:c>
      <x:c r="L732" s="33" t="str"/>
    </x:row>
    <x:row r="733" ht="38" customHeight="1">
      <x:c r="A733" s="2" t="str">
        <x:v>R1153</x:v>
      </x:c>
      <x:c r="B733" s="2" t="str">
        <x:v>47R</x:v>
      </x:c>
      <x:c r="C733" s="2" t="str">
        <x:v>Да</x:v>
      </x:c>
      <x:c r="D733" s="8" t="str">
        <x:v>CRCW060347R0FKEA</x:v>
      </x:c>
      <x:c r="E733" s="2" t="str">
        <x:v>Vishay</x:v>
      </x:c>
      <x:c r="F733" s="8" t="str">
        <x:v>0603</x:v>
      </x:c>
      <x:c r="G733" s="2" t="str">
        <x:v>SURFACE_MOUNT</x:v>
      </x:c>
      <x:c r="H733" s="2" t="str">
        <x:v>SELECTED_FAMILY_CODE</x:v>
      </x:c>
      <x:c r="I733" s="2" t="str">
        <x:v>Не выпущено</x:v>
      </x:c>
      <x:c r="J733" s="31" t="str">
        <x:v>resistance_ohm: 47.0;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33" s="31" t="str">
        <x:v>https://www.vishay.com/docs/20035/dcrcwe3.pdf</x:v>
      </x:c>
      <x:c r="L733" s="31" t="str"/>
    </x:row>
    <x:row r="734" ht="38" customHeight="1">
      <x:c r="A734" s="12" t="str">
        <x:v>R1154</x:v>
      </x:c>
      <x:c r="B734" s="12" t="str">
        <x:v>10k</x:v>
      </x:c>
      <x:c r="C734" s="12" t="str">
        <x:v>Да</x:v>
      </x:c>
      <x:c r="D734" s="11" t="str">
        <x:v>CRCW060310K0FKEA</x:v>
      </x:c>
      <x:c r="E734" s="12" t="str">
        <x:v>Vishay</x:v>
      </x:c>
      <x:c r="F734" s="11" t="str">
        <x:v>0603</x:v>
      </x:c>
      <x:c r="G734" s="12" t="str">
        <x:v>SURFACE_MOUNT</x:v>
      </x:c>
      <x:c r="H734" s="12" t="str">
        <x:v>SELECTED_FAMILY_CODE</x:v>
      </x:c>
      <x:c r="I734" s="12" t="str">
        <x:v>Не выпущено</x:v>
      </x:c>
      <x:c r="J734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34" s="33" t="str">
        <x:v>https://www.vishay.com/docs/20035/dcrcwe3.pdf</x:v>
      </x:c>
      <x:c r="L734" s="33" t="str"/>
    </x:row>
    <x:row r="735" ht="38" customHeight="1">
      <x:c r="A735" s="2" t="str">
        <x:v>R1155</x:v>
      </x:c>
      <x:c r="B735" s="2" t="str">
        <x:v>100R</x:v>
      </x:c>
      <x:c r="C735" s="2" t="str">
        <x:v>Да</x:v>
      </x:c>
      <x:c r="D735" s="8" t="str">
        <x:v>CRCW0603100RFKEA</x:v>
      </x:c>
      <x:c r="E735" s="2" t="str">
        <x:v>Vishay</x:v>
      </x:c>
      <x:c r="F735" s="8" t="str">
        <x:v>0603</x:v>
      </x:c>
      <x:c r="G735" s="2" t="str">
        <x:v>SURFACE_MOUNT</x:v>
      </x:c>
      <x:c r="H735" s="2" t="str">
        <x:v>SELECTED_FAMILY_CODE</x:v>
      </x:c>
      <x:c r="I735" s="2" t="str">
        <x:v>Не выпущено</x:v>
      </x:c>
      <x:c r="J735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35" s="31" t="str">
        <x:v>https://www.vishay.com/docs/20035/dcrcwe3.pdf</x:v>
      </x:c>
      <x:c r="L735" s="31" t="str"/>
    </x:row>
    <x:row r="736" ht="38" customHeight="1">
      <x:c r="A736" s="12" t="str">
        <x:v>R1156</x:v>
      </x:c>
      <x:c r="B736" s="12" t="str">
        <x:v>100R</x:v>
      </x:c>
      <x:c r="C736" s="12" t="str">
        <x:v>Да</x:v>
      </x:c>
      <x:c r="D736" s="11" t="str">
        <x:v>CRCW0603100RFKEA</x:v>
      </x:c>
      <x:c r="E736" s="12" t="str">
        <x:v>Vishay</x:v>
      </x:c>
      <x:c r="F736" s="11" t="str">
        <x:v>0603</x:v>
      </x:c>
      <x:c r="G736" s="12" t="str">
        <x:v>SURFACE_MOUNT</x:v>
      </x:c>
      <x:c r="H736" s="12" t="str">
        <x:v>SELECTED_FAMILY_CODE</x:v>
      </x:c>
      <x:c r="I736" s="12" t="str">
        <x:v>Не выпущено</x:v>
      </x:c>
      <x:c r="J736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36" s="33" t="str">
        <x:v>https://www.vishay.com/docs/20035/dcrcwe3.pdf</x:v>
      </x:c>
      <x:c r="L736" s="33" t="str"/>
    </x:row>
    <x:row r="737" ht="38" customHeight="1">
      <x:c r="A737" s="2" t="str">
        <x:v>R1157</x:v>
      </x:c>
      <x:c r="B737" s="2" t="str">
        <x:v>10k</x:v>
      </x:c>
      <x:c r="C737" s="2" t="str">
        <x:v>Да</x:v>
      </x:c>
      <x:c r="D737" s="8" t="str">
        <x:v>CRCW060310K0FKEA</x:v>
      </x:c>
      <x:c r="E737" s="2" t="str">
        <x:v>Vishay</x:v>
      </x:c>
      <x:c r="F737" s="8" t="str">
        <x:v>0603</x:v>
      </x:c>
      <x:c r="G737" s="2" t="str">
        <x:v>SURFACE_MOUNT</x:v>
      </x:c>
      <x:c r="H737" s="2" t="str">
        <x:v>SELECTED_FAMILY_CODE</x:v>
      </x:c>
      <x:c r="I737" s="2" t="str">
        <x:v>Не выпущено</x:v>
      </x:c>
      <x:c r="J73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37" s="31" t="str">
        <x:v>https://www.vishay.com/docs/20035/dcrcwe3.pdf</x:v>
      </x:c>
      <x:c r="L737" s="31" t="str"/>
    </x:row>
    <x:row r="738" ht="38" customHeight="1">
      <x:c r="A738" s="12" t="str">
        <x:v>R1161</x:v>
      </x:c>
      <x:c r="B738" s="12" t="str">
        <x:v>100k</x:v>
      </x:c>
      <x:c r="C738" s="12" t="str">
        <x:v>Да</x:v>
      </x:c>
      <x:c r="D738" s="11" t="str">
        <x:v>CRCW0603100KFKEA</x:v>
      </x:c>
      <x:c r="E738" s="12" t="str">
        <x:v>Vishay</x:v>
      </x:c>
      <x:c r="F738" s="11" t="str">
        <x:v>0603</x:v>
      </x:c>
      <x:c r="G738" s="12" t="str">
        <x:v>SURFACE_MOUNT</x:v>
      </x:c>
      <x:c r="H738" s="12" t="str">
        <x:v>SELECTED_FAMILY_CODE</x:v>
      </x:c>
      <x:c r="I738" s="12" t="str">
        <x:v>Не выпущено</x:v>
      </x:c>
      <x:c r="J738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38" s="33" t="str">
        <x:v>https://www.vishay.com/docs/20035/dcrcwe3.pdf</x:v>
      </x:c>
      <x:c r="L738" s="33" t="str"/>
    </x:row>
    <x:row r="739" ht="38" customHeight="1">
      <x:c r="A739" s="2" t="str">
        <x:v>R1162</x:v>
      </x:c>
      <x:c r="B739" s="2" t="str">
        <x:v>100R</x:v>
      </x:c>
      <x:c r="C739" s="2" t="str">
        <x:v>Да</x:v>
      </x:c>
      <x:c r="D739" s="8" t="str">
        <x:v>CRCW0603100RFKEA</x:v>
      </x:c>
      <x:c r="E739" s="2" t="str">
        <x:v>Vishay</x:v>
      </x:c>
      <x:c r="F739" s="8" t="str">
        <x:v>0603</x:v>
      </x:c>
      <x:c r="G739" s="2" t="str">
        <x:v>SURFACE_MOUNT</x:v>
      </x:c>
      <x:c r="H739" s="2" t="str">
        <x:v>SELECTED_FAMILY_CODE</x:v>
      </x:c>
      <x:c r="I739" s="2" t="str">
        <x:v>Не выпущено</x:v>
      </x:c>
      <x:c r="J739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39" s="31" t="str">
        <x:v>https://www.vishay.com/docs/20035/dcrcwe3.pdf</x:v>
      </x:c>
      <x:c r="L739" s="31" t="str"/>
    </x:row>
    <x:row r="740" ht="38" customHeight="1">
      <x:c r="A740" s="12" t="str">
        <x:v>R1163</x:v>
      </x:c>
      <x:c r="B740" s="12" t="str">
        <x:v>10k</x:v>
      </x:c>
      <x:c r="C740" s="12" t="str">
        <x:v>Да</x:v>
      </x:c>
      <x:c r="D740" s="11" t="str">
        <x:v>CRCW060310K0FKEA</x:v>
      </x:c>
      <x:c r="E740" s="12" t="str">
        <x:v>Vishay</x:v>
      </x:c>
      <x:c r="F740" s="11" t="str">
        <x:v>0603</x:v>
      </x:c>
      <x:c r="G740" s="12" t="str">
        <x:v>SURFACE_MOUNT</x:v>
      </x:c>
      <x:c r="H740" s="12" t="str">
        <x:v>SELECTED_FAMILY_CODE</x:v>
      </x:c>
      <x:c r="I740" s="12" t="str">
        <x:v>Не выпущено</x:v>
      </x:c>
      <x:c r="J74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40" s="33" t="str">
        <x:v>https://www.vishay.com/docs/20035/dcrcwe3.pdf</x:v>
      </x:c>
      <x:c r="L740" s="33" t="str"/>
    </x:row>
    <x:row r="741" ht="38" customHeight="1">
      <x:c r="A741" s="2" t="str">
        <x:v>R1164</x:v>
      </x:c>
      <x:c r="B741" s="2" t="str">
        <x:v>100k</x:v>
      </x:c>
      <x:c r="C741" s="2" t="str">
        <x:v>Да</x:v>
      </x:c>
      <x:c r="D741" s="8" t="str">
        <x:v>CRCW0603100KFKEA</x:v>
      </x:c>
      <x:c r="E741" s="2" t="str">
        <x:v>Vishay</x:v>
      </x:c>
      <x:c r="F741" s="8" t="str">
        <x:v>0603</x:v>
      </x:c>
      <x:c r="G741" s="2" t="str">
        <x:v>SURFACE_MOUNT</x:v>
      </x:c>
      <x:c r="H741" s="2" t="str">
        <x:v>SELECTED_FAMILY_CODE</x:v>
      </x:c>
      <x:c r="I741" s="2" t="str">
        <x:v>Не выпущено</x:v>
      </x:c>
      <x:c r="J741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41" s="31" t="str">
        <x:v>https://www.vishay.com/docs/20035/dcrcwe3.pdf</x:v>
      </x:c>
      <x:c r="L741" s="31" t="str"/>
    </x:row>
    <x:row r="742" ht="38" customHeight="1">
      <x:c r="A742" s="12" t="str">
        <x:v>R1165</x:v>
      </x:c>
      <x:c r="B742" s="12" t="str">
        <x:v>100R</x:v>
      </x:c>
      <x:c r="C742" s="12" t="str">
        <x:v>Да</x:v>
      </x:c>
      <x:c r="D742" s="11" t="str">
        <x:v>CRCW0603100RFKEA</x:v>
      </x:c>
      <x:c r="E742" s="12" t="str">
        <x:v>Vishay</x:v>
      </x:c>
      <x:c r="F742" s="11" t="str">
        <x:v>0603</x:v>
      </x:c>
      <x:c r="G742" s="12" t="str">
        <x:v>SURFACE_MOUNT</x:v>
      </x:c>
      <x:c r="H742" s="12" t="str">
        <x:v>SELECTED_FAMILY_CODE</x:v>
      </x:c>
      <x:c r="I742" s="12" t="str">
        <x:v>Не выпущено</x:v>
      </x:c>
      <x:c r="J742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42" s="33" t="str">
        <x:v>https://www.vishay.com/docs/20035/dcrcwe3.pdf</x:v>
      </x:c>
      <x:c r="L742" s="33" t="str"/>
    </x:row>
    <x:row r="743" ht="38" customHeight="1">
      <x:c r="A743" s="2" t="str">
        <x:v>R1166</x:v>
      </x:c>
      <x:c r="B743" s="2" t="str">
        <x:v>10k</x:v>
      </x:c>
      <x:c r="C743" s="2" t="str">
        <x:v>Да</x:v>
      </x:c>
      <x:c r="D743" s="8" t="str">
        <x:v>CRCW060310K0FKEA</x:v>
      </x:c>
      <x:c r="E743" s="2" t="str">
        <x:v>Vishay</x:v>
      </x:c>
      <x:c r="F743" s="8" t="str">
        <x:v>0603</x:v>
      </x:c>
      <x:c r="G743" s="2" t="str">
        <x:v>SURFACE_MOUNT</x:v>
      </x:c>
      <x:c r="H743" s="2" t="str">
        <x:v>SELECTED_FAMILY_CODE</x:v>
      </x:c>
      <x:c r="I743" s="2" t="str">
        <x:v>Не выпущено</x:v>
      </x:c>
      <x:c r="J74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43" s="31" t="str">
        <x:v>https://www.vishay.com/docs/20035/dcrcwe3.pdf</x:v>
      </x:c>
      <x:c r="L743" s="31" t="str"/>
    </x:row>
    <x:row r="744" ht="38" customHeight="1">
      <x:c r="A744" s="12" t="str">
        <x:v>R1167</x:v>
      </x:c>
      <x:c r="B744" s="12" t="str">
        <x:v>100k</x:v>
      </x:c>
      <x:c r="C744" s="12" t="str">
        <x:v>Да</x:v>
      </x:c>
      <x:c r="D744" s="11" t="str">
        <x:v>CRCW0603100KFKEA</x:v>
      </x:c>
      <x:c r="E744" s="12" t="str">
        <x:v>Vishay</x:v>
      </x:c>
      <x:c r="F744" s="11" t="str">
        <x:v>0603</x:v>
      </x:c>
      <x:c r="G744" s="12" t="str">
        <x:v>SURFACE_MOUNT</x:v>
      </x:c>
      <x:c r="H744" s="12" t="str">
        <x:v>SELECTED_FAMILY_CODE</x:v>
      </x:c>
      <x:c r="I744" s="12" t="str">
        <x:v>Не выпущено</x:v>
      </x:c>
      <x:c r="J744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44" s="33" t="str">
        <x:v>https://www.vishay.com/docs/20035/dcrcwe3.pdf</x:v>
      </x:c>
      <x:c r="L744" s="33" t="str"/>
    </x:row>
    <x:row r="745" ht="38" customHeight="1">
      <x:c r="A745" s="2" t="str">
        <x:v>R1168</x:v>
      </x:c>
      <x:c r="B745" s="2" t="str">
        <x:v>100R</x:v>
      </x:c>
      <x:c r="C745" s="2" t="str">
        <x:v>Да</x:v>
      </x:c>
      <x:c r="D745" s="8" t="str">
        <x:v>CRCW0603100RFKEA</x:v>
      </x:c>
      <x:c r="E745" s="2" t="str">
        <x:v>Vishay</x:v>
      </x:c>
      <x:c r="F745" s="8" t="str">
        <x:v>0603</x:v>
      </x:c>
      <x:c r="G745" s="2" t="str">
        <x:v>SURFACE_MOUNT</x:v>
      </x:c>
      <x:c r="H745" s="2" t="str">
        <x:v>SELECTED_FAMILY_CODE</x:v>
      </x:c>
      <x:c r="I745" s="2" t="str">
        <x:v>Не выпущено</x:v>
      </x:c>
      <x:c r="J745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45" s="31" t="str">
        <x:v>https://www.vishay.com/docs/20035/dcrcwe3.pdf</x:v>
      </x:c>
      <x:c r="L745" s="31" t="str"/>
    </x:row>
    <x:row r="746" ht="38" customHeight="1">
      <x:c r="A746" s="12" t="str">
        <x:v>R1169</x:v>
      </x:c>
      <x:c r="B746" s="12" t="str">
        <x:v>10k</x:v>
      </x:c>
      <x:c r="C746" s="12" t="str">
        <x:v>Да</x:v>
      </x:c>
      <x:c r="D746" s="11" t="str">
        <x:v>CRCW060310K0FKEA</x:v>
      </x:c>
      <x:c r="E746" s="12" t="str">
        <x:v>Vishay</x:v>
      </x:c>
      <x:c r="F746" s="11" t="str">
        <x:v>0603</x:v>
      </x:c>
      <x:c r="G746" s="12" t="str">
        <x:v>SURFACE_MOUNT</x:v>
      </x:c>
      <x:c r="H746" s="12" t="str">
        <x:v>SELECTED_FAMILY_CODE</x:v>
      </x:c>
      <x:c r="I746" s="12" t="str">
        <x:v>Не выпущено</x:v>
      </x:c>
      <x:c r="J74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46" s="33" t="str">
        <x:v>https://www.vishay.com/docs/20035/dcrcwe3.pdf</x:v>
      </x:c>
      <x:c r="L746" s="33" t="str"/>
    </x:row>
    <x:row r="747" ht="38" customHeight="1">
      <x:c r="A747" s="2" t="str">
        <x:v>R1170</x:v>
      </x:c>
      <x:c r="B747" s="2" t="str">
        <x:v>100k</x:v>
      </x:c>
      <x:c r="C747" s="2" t="str">
        <x:v>Да</x:v>
      </x:c>
      <x:c r="D747" s="8" t="str">
        <x:v>CRCW0603100KFKEA</x:v>
      </x:c>
      <x:c r="E747" s="2" t="str">
        <x:v>Vishay</x:v>
      </x:c>
      <x:c r="F747" s="8" t="str">
        <x:v>0603</x:v>
      </x:c>
      <x:c r="G747" s="2" t="str">
        <x:v>SURFACE_MOUNT</x:v>
      </x:c>
      <x:c r="H747" s="2" t="str">
        <x:v>SELECTED_FAMILY_CODE</x:v>
      </x:c>
      <x:c r="I747" s="2" t="str">
        <x:v>Не выпущено</x:v>
      </x:c>
      <x:c r="J747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47" s="31" t="str">
        <x:v>https://www.vishay.com/docs/20035/dcrcwe3.pdf</x:v>
      </x:c>
      <x:c r="L747" s="31" t="str"/>
    </x:row>
    <x:row r="748" ht="38" customHeight="1">
      <x:c r="A748" s="12" t="str">
        <x:v>R1171</x:v>
      </x:c>
      <x:c r="B748" s="12" t="str">
        <x:v>100R</x:v>
      </x:c>
      <x:c r="C748" s="12" t="str">
        <x:v>Да</x:v>
      </x:c>
      <x:c r="D748" s="11" t="str">
        <x:v>CRCW0603100RFKEA</x:v>
      </x:c>
      <x:c r="E748" s="12" t="str">
        <x:v>Vishay</x:v>
      </x:c>
      <x:c r="F748" s="11" t="str">
        <x:v>0603</x:v>
      </x:c>
      <x:c r="G748" s="12" t="str">
        <x:v>SURFACE_MOUNT</x:v>
      </x:c>
      <x:c r="H748" s="12" t="str">
        <x:v>SELECTED_FAMILY_CODE</x:v>
      </x:c>
      <x:c r="I748" s="12" t="str">
        <x:v>Не выпущено</x:v>
      </x:c>
      <x:c r="J748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48" s="33" t="str">
        <x:v>https://www.vishay.com/docs/20035/dcrcwe3.pdf</x:v>
      </x:c>
      <x:c r="L748" s="33" t="str"/>
    </x:row>
    <x:row r="749" ht="38" customHeight="1">
      <x:c r="A749" s="2" t="str">
        <x:v>R1172</x:v>
      </x:c>
      <x:c r="B749" s="2" t="str">
        <x:v>10k</x:v>
      </x:c>
      <x:c r="C749" s="2" t="str">
        <x:v>Да</x:v>
      </x:c>
      <x:c r="D749" s="8" t="str">
        <x:v>CRCW060310K0FKEA</x:v>
      </x:c>
      <x:c r="E749" s="2" t="str">
        <x:v>Vishay</x:v>
      </x:c>
      <x:c r="F749" s="8" t="str">
        <x:v>0603</x:v>
      </x:c>
      <x:c r="G749" s="2" t="str">
        <x:v>SURFACE_MOUNT</x:v>
      </x:c>
      <x:c r="H749" s="2" t="str">
        <x:v>SELECTED_FAMILY_CODE</x:v>
      </x:c>
      <x:c r="I749" s="2" t="str">
        <x:v>Не выпущено</x:v>
      </x:c>
      <x:c r="J74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49" s="31" t="str">
        <x:v>https://www.vishay.com/docs/20035/dcrcwe3.pdf</x:v>
      </x:c>
      <x:c r="L749" s="31" t="str"/>
    </x:row>
    <x:row r="750" ht="38" customHeight="1">
      <x:c r="A750" s="12" t="str">
        <x:v>R1173</x:v>
      </x:c>
      <x:c r="B750" s="12" t="str">
        <x:v>47R</x:v>
      </x:c>
      <x:c r="C750" s="12" t="str">
        <x:v>Да</x:v>
      </x:c>
      <x:c r="D750" s="11" t="str">
        <x:v>CRCW060347R0FKEA</x:v>
      </x:c>
      <x:c r="E750" s="12" t="str">
        <x:v>Vishay</x:v>
      </x:c>
      <x:c r="F750" s="11" t="str">
        <x:v>0603</x:v>
      </x:c>
      <x:c r="G750" s="12" t="str">
        <x:v>SURFACE_MOUNT</x:v>
      </x:c>
      <x:c r="H750" s="12" t="str">
        <x:v>SELECTED_FAMILY_CODE</x:v>
      </x:c>
      <x:c r="I750" s="12" t="str">
        <x:v>Не выпущено</x:v>
      </x:c>
      <x:c r="J750" s="33" t="str">
        <x:v>resistance_ohm: 47.0;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50" s="33" t="str">
        <x:v>https://www.vishay.com/docs/20035/dcrcwe3.pdf</x:v>
      </x:c>
      <x:c r="L750" s="33" t="str"/>
    </x:row>
    <x:row r="751" ht="38" customHeight="1">
      <x:c r="A751" s="2" t="str">
        <x:v>R1174</x:v>
      </x:c>
      <x:c r="B751" s="2" t="str">
        <x:v>10k</x:v>
      </x:c>
      <x:c r="C751" s="2" t="str">
        <x:v>Да</x:v>
      </x:c>
      <x:c r="D751" s="8" t="str">
        <x:v>CRCW060310K0FKEA</x:v>
      </x:c>
      <x:c r="E751" s="2" t="str">
        <x:v>Vishay</x:v>
      </x:c>
      <x:c r="F751" s="8" t="str">
        <x:v>0603</x:v>
      </x:c>
      <x:c r="G751" s="2" t="str">
        <x:v>SURFACE_MOUNT</x:v>
      </x:c>
      <x:c r="H751" s="2" t="str">
        <x:v>SELECTED_FAMILY_CODE</x:v>
      </x:c>
      <x:c r="I751" s="2" t="str">
        <x:v>Не выпущено</x:v>
      </x:c>
      <x:c r="J751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51" s="31" t="str">
        <x:v>https://www.vishay.com/docs/20035/dcrcwe3.pdf</x:v>
      </x:c>
      <x:c r="L751" s="31" t="str"/>
    </x:row>
    <x:row r="752" ht="38" customHeight="1">
      <x:c r="A752" s="12" t="str">
        <x:v>R1175</x:v>
      </x:c>
      <x:c r="B752" s="12" t="str">
        <x:v>100R</x:v>
      </x:c>
      <x:c r="C752" s="12" t="str">
        <x:v>Да</x:v>
      </x:c>
      <x:c r="D752" s="11" t="str">
        <x:v>CRCW0603100RFKEA</x:v>
      </x:c>
      <x:c r="E752" s="12" t="str">
        <x:v>Vishay</x:v>
      </x:c>
      <x:c r="F752" s="11" t="str">
        <x:v>0603</x:v>
      </x:c>
      <x:c r="G752" s="12" t="str">
        <x:v>SURFACE_MOUNT</x:v>
      </x:c>
      <x:c r="H752" s="12" t="str">
        <x:v>SELECTED_FAMILY_CODE</x:v>
      </x:c>
      <x:c r="I752" s="12" t="str">
        <x:v>Не выпущено</x:v>
      </x:c>
      <x:c r="J752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52" s="33" t="str">
        <x:v>https://www.vishay.com/docs/20035/dcrcwe3.pdf</x:v>
      </x:c>
      <x:c r="L752" s="33" t="str"/>
    </x:row>
    <x:row r="753" ht="38" customHeight="1">
      <x:c r="A753" s="2" t="str">
        <x:v>R1176</x:v>
      </x:c>
      <x:c r="B753" s="2" t="str">
        <x:v>100R</x:v>
      </x:c>
      <x:c r="C753" s="2" t="str">
        <x:v>Да</x:v>
      </x:c>
      <x:c r="D753" s="8" t="str">
        <x:v>CRCW0603100RFKEA</x:v>
      </x:c>
      <x:c r="E753" s="2" t="str">
        <x:v>Vishay</x:v>
      </x:c>
      <x:c r="F753" s="8" t="str">
        <x:v>0603</x:v>
      </x:c>
      <x:c r="G753" s="2" t="str">
        <x:v>SURFACE_MOUNT</x:v>
      </x:c>
      <x:c r="H753" s="2" t="str">
        <x:v>SELECTED_FAMILY_CODE</x:v>
      </x:c>
      <x:c r="I753" s="2" t="str">
        <x:v>Не выпущено</x:v>
      </x:c>
      <x:c r="J753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53" s="31" t="str">
        <x:v>https://www.vishay.com/docs/20035/dcrcwe3.pdf</x:v>
      </x:c>
      <x:c r="L753" s="31" t="str"/>
    </x:row>
    <x:row r="754" ht="38" customHeight="1">
      <x:c r="A754" s="12" t="str">
        <x:v>R1177</x:v>
      </x:c>
      <x:c r="B754" s="12" t="str">
        <x:v>10k</x:v>
      </x:c>
      <x:c r="C754" s="12" t="str">
        <x:v>Да</x:v>
      </x:c>
      <x:c r="D754" s="11" t="str">
        <x:v>CRCW060310K0FKEA</x:v>
      </x:c>
      <x:c r="E754" s="12" t="str">
        <x:v>Vishay</x:v>
      </x:c>
      <x:c r="F754" s="11" t="str">
        <x:v>0603</x:v>
      </x:c>
      <x:c r="G754" s="12" t="str">
        <x:v>SURFACE_MOUNT</x:v>
      </x:c>
      <x:c r="H754" s="12" t="str">
        <x:v>SELECTED_FAMILY_CODE</x:v>
      </x:c>
      <x:c r="I754" s="12" t="str">
        <x:v>Не выпущено</x:v>
      </x:c>
      <x:c r="J754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54" s="33" t="str">
        <x:v>https://www.vishay.com/docs/20035/dcrcwe3.pdf</x:v>
      </x:c>
      <x:c r="L754" s="33" t="str"/>
    </x:row>
    <x:row r="755" ht="38" customHeight="1">
      <x:c r="A755" s="2" t="str">
        <x:v>R1181</x:v>
      </x:c>
      <x:c r="B755" s="2" t="str">
        <x:v>100k</x:v>
      </x:c>
      <x:c r="C755" s="2" t="str">
        <x:v>Да</x:v>
      </x:c>
      <x:c r="D755" s="8" t="str">
        <x:v>CRCW0603100KFKEA</x:v>
      </x:c>
      <x:c r="E755" s="2" t="str">
        <x:v>Vishay</x:v>
      </x:c>
      <x:c r="F755" s="8" t="str">
        <x:v>0603</x:v>
      </x:c>
      <x:c r="G755" s="2" t="str">
        <x:v>SURFACE_MOUNT</x:v>
      </x:c>
      <x:c r="H755" s="2" t="str">
        <x:v>SELECTED_FAMILY_CODE</x:v>
      </x:c>
      <x:c r="I755" s="2" t="str">
        <x:v>Не выпущено</x:v>
      </x:c>
      <x:c r="J755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55" s="31" t="str">
        <x:v>https://www.vishay.com/docs/20035/dcrcwe3.pdf</x:v>
      </x:c>
      <x:c r="L755" s="31" t="str"/>
    </x:row>
    <x:row r="756" ht="38" customHeight="1">
      <x:c r="A756" s="12" t="str">
        <x:v>R1182</x:v>
      </x:c>
      <x:c r="B756" s="12" t="str">
        <x:v>100R</x:v>
      </x:c>
      <x:c r="C756" s="12" t="str">
        <x:v>Да</x:v>
      </x:c>
      <x:c r="D756" s="11" t="str">
        <x:v>CRCW0603100RFKEA</x:v>
      </x:c>
      <x:c r="E756" s="12" t="str">
        <x:v>Vishay</x:v>
      </x:c>
      <x:c r="F756" s="11" t="str">
        <x:v>0603</x:v>
      </x:c>
      <x:c r="G756" s="12" t="str">
        <x:v>SURFACE_MOUNT</x:v>
      </x:c>
      <x:c r="H756" s="12" t="str">
        <x:v>SELECTED_FAMILY_CODE</x:v>
      </x:c>
      <x:c r="I756" s="12" t="str">
        <x:v>Не выпущено</x:v>
      </x:c>
      <x:c r="J756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56" s="33" t="str">
        <x:v>https://www.vishay.com/docs/20035/dcrcwe3.pdf</x:v>
      </x:c>
      <x:c r="L756" s="33" t="str"/>
    </x:row>
    <x:row r="757" ht="38" customHeight="1">
      <x:c r="A757" s="2" t="str">
        <x:v>R1183</x:v>
      </x:c>
      <x:c r="B757" s="2" t="str">
        <x:v>10k</x:v>
      </x:c>
      <x:c r="C757" s="2" t="str">
        <x:v>Да</x:v>
      </x:c>
      <x:c r="D757" s="8" t="str">
        <x:v>CRCW060310K0FKEA</x:v>
      </x:c>
      <x:c r="E757" s="2" t="str">
        <x:v>Vishay</x:v>
      </x:c>
      <x:c r="F757" s="8" t="str">
        <x:v>0603</x:v>
      </x:c>
      <x:c r="G757" s="2" t="str">
        <x:v>SURFACE_MOUNT</x:v>
      </x:c>
      <x:c r="H757" s="2" t="str">
        <x:v>SELECTED_FAMILY_CODE</x:v>
      </x:c>
      <x:c r="I757" s="2" t="str">
        <x:v>Не выпущено</x:v>
      </x:c>
      <x:c r="J75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57" s="31" t="str">
        <x:v>https://www.vishay.com/docs/20035/dcrcwe3.pdf</x:v>
      </x:c>
      <x:c r="L757" s="31" t="str"/>
    </x:row>
    <x:row r="758" ht="38" customHeight="1">
      <x:c r="A758" s="12" t="str">
        <x:v>R1184</x:v>
      </x:c>
      <x:c r="B758" s="12" t="str">
        <x:v>100k</x:v>
      </x:c>
      <x:c r="C758" s="12" t="str">
        <x:v>Да</x:v>
      </x:c>
      <x:c r="D758" s="11" t="str">
        <x:v>CRCW0603100KFKEA</x:v>
      </x:c>
      <x:c r="E758" s="12" t="str">
        <x:v>Vishay</x:v>
      </x:c>
      <x:c r="F758" s="11" t="str">
        <x:v>0603</x:v>
      </x:c>
      <x:c r="G758" s="12" t="str">
        <x:v>SURFACE_MOUNT</x:v>
      </x:c>
      <x:c r="H758" s="12" t="str">
        <x:v>SELECTED_FAMILY_CODE</x:v>
      </x:c>
      <x:c r="I758" s="12" t="str">
        <x:v>Не выпущено</x:v>
      </x:c>
      <x:c r="J758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58" s="33" t="str">
        <x:v>https://www.vishay.com/docs/20035/dcrcwe3.pdf</x:v>
      </x:c>
      <x:c r="L758" s="33" t="str"/>
    </x:row>
    <x:row r="759" ht="38" customHeight="1">
      <x:c r="A759" s="2" t="str">
        <x:v>R1185</x:v>
      </x:c>
      <x:c r="B759" s="2" t="str">
        <x:v>100R</x:v>
      </x:c>
      <x:c r="C759" s="2" t="str">
        <x:v>Да</x:v>
      </x:c>
      <x:c r="D759" s="8" t="str">
        <x:v>CRCW0603100RFKEA</x:v>
      </x:c>
      <x:c r="E759" s="2" t="str">
        <x:v>Vishay</x:v>
      </x:c>
      <x:c r="F759" s="8" t="str">
        <x:v>0603</x:v>
      </x:c>
      <x:c r="G759" s="2" t="str">
        <x:v>SURFACE_MOUNT</x:v>
      </x:c>
      <x:c r="H759" s="2" t="str">
        <x:v>SELECTED_FAMILY_CODE</x:v>
      </x:c>
      <x:c r="I759" s="2" t="str">
        <x:v>Не выпущено</x:v>
      </x:c>
      <x:c r="J759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59" s="31" t="str">
        <x:v>https://www.vishay.com/docs/20035/dcrcwe3.pdf</x:v>
      </x:c>
      <x:c r="L759" s="31" t="str"/>
    </x:row>
    <x:row r="760" ht="38" customHeight="1">
      <x:c r="A760" s="12" t="str">
        <x:v>R1186</x:v>
      </x:c>
      <x:c r="B760" s="12" t="str">
        <x:v>10k</x:v>
      </x:c>
      <x:c r="C760" s="12" t="str">
        <x:v>Да</x:v>
      </x:c>
      <x:c r="D760" s="11" t="str">
        <x:v>CRCW060310K0FKEA</x:v>
      </x:c>
      <x:c r="E760" s="12" t="str">
        <x:v>Vishay</x:v>
      </x:c>
      <x:c r="F760" s="11" t="str">
        <x:v>0603</x:v>
      </x:c>
      <x:c r="G760" s="12" t="str">
        <x:v>SURFACE_MOUNT</x:v>
      </x:c>
      <x:c r="H760" s="12" t="str">
        <x:v>SELECTED_FAMILY_CODE</x:v>
      </x:c>
      <x:c r="I760" s="12" t="str">
        <x:v>Не выпущено</x:v>
      </x:c>
      <x:c r="J76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60" s="33" t="str">
        <x:v>https://www.vishay.com/docs/20035/dcrcwe3.pdf</x:v>
      </x:c>
      <x:c r="L760" s="33" t="str"/>
    </x:row>
    <x:row r="761" ht="38" customHeight="1">
      <x:c r="A761" s="2" t="str">
        <x:v>R1187</x:v>
      </x:c>
      <x:c r="B761" s="2" t="str">
        <x:v>100k</x:v>
      </x:c>
      <x:c r="C761" s="2" t="str">
        <x:v>Да</x:v>
      </x:c>
      <x:c r="D761" s="8" t="str">
        <x:v>CRCW0603100KFKEA</x:v>
      </x:c>
      <x:c r="E761" s="2" t="str">
        <x:v>Vishay</x:v>
      </x:c>
      <x:c r="F761" s="8" t="str">
        <x:v>0603</x:v>
      </x:c>
      <x:c r="G761" s="2" t="str">
        <x:v>SURFACE_MOUNT</x:v>
      </x:c>
      <x:c r="H761" s="2" t="str">
        <x:v>SELECTED_FAMILY_CODE</x:v>
      </x:c>
      <x:c r="I761" s="2" t="str">
        <x:v>Не выпущено</x:v>
      </x:c>
      <x:c r="J761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61" s="31" t="str">
        <x:v>https://www.vishay.com/docs/20035/dcrcwe3.pdf</x:v>
      </x:c>
      <x:c r="L761" s="31" t="str"/>
    </x:row>
    <x:row r="762" ht="38" customHeight="1">
      <x:c r="A762" s="12" t="str">
        <x:v>R1188</x:v>
      </x:c>
      <x:c r="B762" s="12" t="str">
        <x:v>100R</x:v>
      </x:c>
      <x:c r="C762" s="12" t="str">
        <x:v>Да</x:v>
      </x:c>
      <x:c r="D762" s="11" t="str">
        <x:v>CRCW0603100RFKEA</x:v>
      </x:c>
      <x:c r="E762" s="12" t="str">
        <x:v>Vishay</x:v>
      </x:c>
      <x:c r="F762" s="11" t="str">
        <x:v>0603</x:v>
      </x:c>
      <x:c r="G762" s="12" t="str">
        <x:v>SURFACE_MOUNT</x:v>
      </x:c>
      <x:c r="H762" s="12" t="str">
        <x:v>SELECTED_FAMILY_CODE</x:v>
      </x:c>
      <x:c r="I762" s="12" t="str">
        <x:v>Не выпущено</x:v>
      </x:c>
      <x:c r="J762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62" s="33" t="str">
        <x:v>https://www.vishay.com/docs/20035/dcrcwe3.pdf</x:v>
      </x:c>
      <x:c r="L762" s="33" t="str"/>
    </x:row>
    <x:row r="763" ht="38" customHeight="1">
      <x:c r="A763" s="2" t="str">
        <x:v>R1189</x:v>
      </x:c>
      <x:c r="B763" s="2" t="str">
        <x:v>10k</x:v>
      </x:c>
      <x:c r="C763" s="2" t="str">
        <x:v>Да</x:v>
      </x:c>
      <x:c r="D763" s="8" t="str">
        <x:v>CRCW060310K0FKEA</x:v>
      </x:c>
      <x:c r="E763" s="2" t="str">
        <x:v>Vishay</x:v>
      </x:c>
      <x:c r="F763" s="8" t="str">
        <x:v>0603</x:v>
      </x:c>
      <x:c r="G763" s="2" t="str">
        <x:v>SURFACE_MOUNT</x:v>
      </x:c>
      <x:c r="H763" s="2" t="str">
        <x:v>SELECTED_FAMILY_CODE</x:v>
      </x:c>
      <x:c r="I763" s="2" t="str">
        <x:v>Не выпущено</x:v>
      </x:c>
      <x:c r="J76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63" s="31" t="str">
        <x:v>https://www.vishay.com/docs/20035/dcrcwe3.pdf</x:v>
      </x:c>
      <x:c r="L763" s="31" t="str"/>
    </x:row>
    <x:row r="764" ht="38" customHeight="1">
      <x:c r="A764" s="12" t="str">
        <x:v>R1190</x:v>
      </x:c>
      <x:c r="B764" s="12" t="str">
        <x:v>100k</x:v>
      </x:c>
      <x:c r="C764" s="12" t="str">
        <x:v>Да</x:v>
      </x:c>
      <x:c r="D764" s="11" t="str">
        <x:v>CRCW0603100KFKEA</x:v>
      </x:c>
      <x:c r="E764" s="12" t="str">
        <x:v>Vishay</x:v>
      </x:c>
      <x:c r="F764" s="11" t="str">
        <x:v>0603</x:v>
      </x:c>
      <x:c r="G764" s="12" t="str">
        <x:v>SURFACE_MOUNT</x:v>
      </x:c>
      <x:c r="H764" s="12" t="str">
        <x:v>SELECTED_FAMILY_CODE</x:v>
      </x:c>
      <x:c r="I764" s="12" t="str">
        <x:v>Не выпущено</x:v>
      </x:c>
      <x:c r="J764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64" s="33" t="str">
        <x:v>https://www.vishay.com/docs/20035/dcrcwe3.pdf</x:v>
      </x:c>
      <x:c r="L764" s="33" t="str"/>
    </x:row>
    <x:row r="765" ht="38" customHeight="1">
      <x:c r="A765" s="2" t="str">
        <x:v>R1191</x:v>
      </x:c>
      <x:c r="B765" s="2" t="str">
        <x:v>100R</x:v>
      </x:c>
      <x:c r="C765" s="2" t="str">
        <x:v>Да</x:v>
      </x:c>
      <x:c r="D765" s="8" t="str">
        <x:v>CRCW0603100RFKEA</x:v>
      </x:c>
      <x:c r="E765" s="2" t="str">
        <x:v>Vishay</x:v>
      </x:c>
      <x:c r="F765" s="8" t="str">
        <x:v>0603</x:v>
      </x:c>
      <x:c r="G765" s="2" t="str">
        <x:v>SURFACE_MOUNT</x:v>
      </x:c>
      <x:c r="H765" s="2" t="str">
        <x:v>SELECTED_FAMILY_CODE</x:v>
      </x:c>
      <x:c r="I765" s="2" t="str">
        <x:v>Не выпущено</x:v>
      </x:c>
      <x:c r="J765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65" s="31" t="str">
        <x:v>https://www.vishay.com/docs/20035/dcrcwe3.pdf</x:v>
      </x:c>
      <x:c r="L765" s="31" t="str"/>
    </x:row>
    <x:row r="766" ht="38" customHeight="1">
      <x:c r="A766" s="12" t="str">
        <x:v>R1192</x:v>
      </x:c>
      <x:c r="B766" s="12" t="str">
        <x:v>10k</x:v>
      </x:c>
      <x:c r="C766" s="12" t="str">
        <x:v>Да</x:v>
      </x:c>
      <x:c r="D766" s="11" t="str">
        <x:v>CRCW060310K0FKEA</x:v>
      </x:c>
      <x:c r="E766" s="12" t="str">
        <x:v>Vishay</x:v>
      </x:c>
      <x:c r="F766" s="11" t="str">
        <x:v>0603</x:v>
      </x:c>
      <x:c r="G766" s="12" t="str">
        <x:v>SURFACE_MOUNT</x:v>
      </x:c>
      <x:c r="H766" s="12" t="str">
        <x:v>SELECTED_FAMILY_CODE</x:v>
      </x:c>
      <x:c r="I766" s="12" t="str">
        <x:v>Не выпущено</x:v>
      </x:c>
      <x:c r="J76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66" s="33" t="str">
        <x:v>https://www.vishay.com/docs/20035/dcrcwe3.pdf</x:v>
      </x:c>
      <x:c r="L766" s="33" t="str"/>
    </x:row>
    <x:row r="767" ht="38" customHeight="1">
      <x:c r="A767" s="2" t="str">
        <x:v>R1193</x:v>
      </x:c>
      <x:c r="B767" s="2" t="str">
        <x:v>47R</x:v>
      </x:c>
      <x:c r="C767" s="2" t="str">
        <x:v>Да</x:v>
      </x:c>
      <x:c r="D767" s="8" t="str">
        <x:v>CRCW060347R0FKEA</x:v>
      </x:c>
      <x:c r="E767" s="2" t="str">
        <x:v>Vishay</x:v>
      </x:c>
      <x:c r="F767" s="8" t="str">
        <x:v>0603</x:v>
      </x:c>
      <x:c r="G767" s="2" t="str">
        <x:v>SURFACE_MOUNT</x:v>
      </x:c>
      <x:c r="H767" s="2" t="str">
        <x:v>SELECTED_FAMILY_CODE</x:v>
      </x:c>
      <x:c r="I767" s="2" t="str">
        <x:v>Не выпущено</x:v>
      </x:c>
      <x:c r="J767" s="31" t="str">
        <x:v>resistance_ohm: 47.0;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67" s="31" t="str">
        <x:v>https://www.vishay.com/docs/20035/dcrcwe3.pdf</x:v>
      </x:c>
      <x:c r="L767" s="31" t="str"/>
    </x:row>
    <x:row r="768" ht="38" customHeight="1">
      <x:c r="A768" s="12" t="str">
        <x:v>R1194</x:v>
      </x:c>
      <x:c r="B768" s="12" t="str">
        <x:v>10k</x:v>
      </x:c>
      <x:c r="C768" s="12" t="str">
        <x:v>Да</x:v>
      </x:c>
      <x:c r="D768" s="11" t="str">
        <x:v>CRCW060310K0FKEA</x:v>
      </x:c>
      <x:c r="E768" s="12" t="str">
        <x:v>Vishay</x:v>
      </x:c>
      <x:c r="F768" s="11" t="str">
        <x:v>0603</x:v>
      </x:c>
      <x:c r="G768" s="12" t="str">
        <x:v>SURFACE_MOUNT</x:v>
      </x:c>
      <x:c r="H768" s="12" t="str">
        <x:v>SELECTED_FAMILY_CODE</x:v>
      </x:c>
      <x:c r="I768" s="12" t="str">
        <x:v>Не выпущено</x:v>
      </x:c>
      <x:c r="J768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68" s="33" t="str">
        <x:v>https://www.vishay.com/docs/20035/dcrcwe3.pdf</x:v>
      </x:c>
      <x:c r="L768" s="33" t="str"/>
    </x:row>
    <x:row r="769" ht="38" customHeight="1">
      <x:c r="A769" s="2" t="str">
        <x:v>R1195</x:v>
      </x:c>
      <x:c r="B769" s="2" t="str">
        <x:v>100R</x:v>
      </x:c>
      <x:c r="C769" s="2" t="str">
        <x:v>Да</x:v>
      </x:c>
      <x:c r="D769" s="8" t="str">
        <x:v>CRCW0603100RFKEA</x:v>
      </x:c>
      <x:c r="E769" s="2" t="str">
        <x:v>Vishay</x:v>
      </x:c>
      <x:c r="F769" s="8" t="str">
        <x:v>0603</x:v>
      </x:c>
      <x:c r="G769" s="2" t="str">
        <x:v>SURFACE_MOUNT</x:v>
      </x:c>
      <x:c r="H769" s="2" t="str">
        <x:v>SELECTED_FAMILY_CODE</x:v>
      </x:c>
      <x:c r="I769" s="2" t="str">
        <x:v>Не выпущено</x:v>
      </x:c>
      <x:c r="J769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69" s="31" t="str">
        <x:v>https://www.vishay.com/docs/20035/dcrcwe3.pdf</x:v>
      </x:c>
      <x:c r="L769" s="31" t="str"/>
    </x:row>
    <x:row r="770" ht="38" customHeight="1">
      <x:c r="A770" s="12" t="str">
        <x:v>R1196</x:v>
      </x:c>
      <x:c r="B770" s="12" t="str">
        <x:v>100R</x:v>
      </x:c>
      <x:c r="C770" s="12" t="str">
        <x:v>Да</x:v>
      </x:c>
      <x:c r="D770" s="11" t="str">
        <x:v>CRCW0603100RFKEA</x:v>
      </x:c>
      <x:c r="E770" s="12" t="str">
        <x:v>Vishay</x:v>
      </x:c>
      <x:c r="F770" s="11" t="str">
        <x:v>0603</x:v>
      </x:c>
      <x:c r="G770" s="12" t="str">
        <x:v>SURFACE_MOUNT</x:v>
      </x:c>
      <x:c r="H770" s="12" t="str">
        <x:v>SELECTED_FAMILY_CODE</x:v>
      </x:c>
      <x:c r="I770" s="12" t="str">
        <x:v>Не выпущено</x:v>
      </x:c>
      <x:c r="J770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70" s="33" t="str">
        <x:v>https://www.vishay.com/docs/20035/dcrcwe3.pdf</x:v>
      </x:c>
      <x:c r="L770" s="33" t="str"/>
    </x:row>
    <x:row r="771" ht="38" customHeight="1">
      <x:c r="A771" s="2" t="str">
        <x:v>R1197</x:v>
      </x:c>
      <x:c r="B771" s="2" t="str">
        <x:v>10k</x:v>
      </x:c>
      <x:c r="C771" s="2" t="str">
        <x:v>Да</x:v>
      </x:c>
      <x:c r="D771" s="8" t="str">
        <x:v>CRCW060310K0FKEA</x:v>
      </x:c>
      <x:c r="E771" s="2" t="str">
        <x:v>Vishay</x:v>
      </x:c>
      <x:c r="F771" s="8" t="str">
        <x:v>0603</x:v>
      </x:c>
      <x:c r="G771" s="2" t="str">
        <x:v>SURFACE_MOUNT</x:v>
      </x:c>
      <x:c r="H771" s="2" t="str">
        <x:v>SELECTED_FAMILY_CODE</x:v>
      </x:c>
      <x:c r="I771" s="2" t="str">
        <x:v>Не выпущено</x:v>
      </x:c>
      <x:c r="J771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71" s="31" t="str">
        <x:v>https://www.vishay.com/docs/20035/dcrcwe3.pdf</x:v>
      </x:c>
      <x:c r="L771" s="31" t="str"/>
    </x:row>
    <x:row r="772" ht="38" customHeight="1">
      <x:c r="A772" s="12" t="str">
        <x:v>R1201</x:v>
      </x:c>
      <x:c r="B772" s="12" t="str">
        <x:v>100k</x:v>
      </x:c>
      <x:c r="C772" s="12" t="str">
        <x:v>Да</x:v>
      </x:c>
      <x:c r="D772" s="11" t="str">
        <x:v>CRCW0603100KFKEA</x:v>
      </x:c>
      <x:c r="E772" s="12" t="str">
        <x:v>Vishay</x:v>
      </x:c>
      <x:c r="F772" s="11" t="str">
        <x:v>0603</x:v>
      </x:c>
      <x:c r="G772" s="12" t="str">
        <x:v>SURFACE_MOUNT</x:v>
      </x:c>
      <x:c r="H772" s="12" t="str">
        <x:v>SELECTED_FAMILY_CODE</x:v>
      </x:c>
      <x:c r="I772" s="12" t="str">
        <x:v>Не выпущено</x:v>
      </x:c>
      <x:c r="J772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72" s="33" t="str">
        <x:v>https://www.vishay.com/docs/20035/dcrcwe3.pdf</x:v>
      </x:c>
      <x:c r="L772" s="33" t="str"/>
    </x:row>
    <x:row r="773" ht="38" customHeight="1">
      <x:c r="A773" s="2" t="str">
        <x:v>R1202</x:v>
      </x:c>
      <x:c r="B773" s="2" t="str">
        <x:v>100R</x:v>
      </x:c>
      <x:c r="C773" s="2" t="str">
        <x:v>Да</x:v>
      </x:c>
      <x:c r="D773" s="8" t="str">
        <x:v>CRCW0603100RFKEA</x:v>
      </x:c>
      <x:c r="E773" s="2" t="str">
        <x:v>Vishay</x:v>
      </x:c>
      <x:c r="F773" s="8" t="str">
        <x:v>0603</x:v>
      </x:c>
      <x:c r="G773" s="2" t="str">
        <x:v>SURFACE_MOUNT</x:v>
      </x:c>
      <x:c r="H773" s="2" t="str">
        <x:v>SELECTED_FAMILY_CODE</x:v>
      </x:c>
      <x:c r="I773" s="2" t="str">
        <x:v>Не выпущено</x:v>
      </x:c>
      <x:c r="J773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73" s="31" t="str">
        <x:v>https://www.vishay.com/docs/20035/dcrcwe3.pdf</x:v>
      </x:c>
      <x:c r="L773" s="31" t="str"/>
    </x:row>
    <x:row r="774" ht="38" customHeight="1">
      <x:c r="A774" s="12" t="str">
        <x:v>R1203</x:v>
      </x:c>
      <x:c r="B774" s="12" t="str">
        <x:v>10k</x:v>
      </x:c>
      <x:c r="C774" s="12" t="str">
        <x:v>Да</x:v>
      </x:c>
      <x:c r="D774" s="11" t="str">
        <x:v>CRCW060310K0FKEA</x:v>
      </x:c>
      <x:c r="E774" s="12" t="str">
        <x:v>Vishay</x:v>
      </x:c>
      <x:c r="F774" s="11" t="str">
        <x:v>0603</x:v>
      </x:c>
      <x:c r="G774" s="12" t="str">
        <x:v>SURFACE_MOUNT</x:v>
      </x:c>
      <x:c r="H774" s="12" t="str">
        <x:v>SELECTED_FAMILY_CODE</x:v>
      </x:c>
      <x:c r="I774" s="12" t="str">
        <x:v>Не выпущено</x:v>
      </x:c>
      <x:c r="J774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74" s="33" t="str">
        <x:v>https://www.vishay.com/docs/20035/dcrcwe3.pdf</x:v>
      </x:c>
      <x:c r="L774" s="33" t="str"/>
    </x:row>
    <x:row r="775" ht="38" customHeight="1">
      <x:c r="A775" s="2" t="str">
        <x:v>R1204</x:v>
      </x:c>
      <x:c r="B775" s="2" t="str">
        <x:v>100k</x:v>
      </x:c>
      <x:c r="C775" s="2" t="str">
        <x:v>Да</x:v>
      </x:c>
      <x:c r="D775" s="8" t="str">
        <x:v>CRCW0603100KFKEA</x:v>
      </x:c>
      <x:c r="E775" s="2" t="str">
        <x:v>Vishay</x:v>
      </x:c>
      <x:c r="F775" s="8" t="str">
        <x:v>0603</x:v>
      </x:c>
      <x:c r="G775" s="2" t="str">
        <x:v>SURFACE_MOUNT</x:v>
      </x:c>
      <x:c r="H775" s="2" t="str">
        <x:v>SELECTED_FAMILY_CODE</x:v>
      </x:c>
      <x:c r="I775" s="2" t="str">
        <x:v>Не выпущено</x:v>
      </x:c>
      <x:c r="J775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75" s="31" t="str">
        <x:v>https://www.vishay.com/docs/20035/dcrcwe3.pdf</x:v>
      </x:c>
      <x:c r="L775" s="31" t="str"/>
    </x:row>
    <x:row r="776" ht="38" customHeight="1">
      <x:c r="A776" s="12" t="str">
        <x:v>R1205</x:v>
      </x:c>
      <x:c r="B776" s="12" t="str">
        <x:v>100R</x:v>
      </x:c>
      <x:c r="C776" s="12" t="str">
        <x:v>Да</x:v>
      </x:c>
      <x:c r="D776" s="11" t="str">
        <x:v>CRCW0603100RFKEA</x:v>
      </x:c>
      <x:c r="E776" s="12" t="str">
        <x:v>Vishay</x:v>
      </x:c>
      <x:c r="F776" s="11" t="str">
        <x:v>0603</x:v>
      </x:c>
      <x:c r="G776" s="12" t="str">
        <x:v>SURFACE_MOUNT</x:v>
      </x:c>
      <x:c r="H776" s="12" t="str">
        <x:v>SELECTED_FAMILY_CODE</x:v>
      </x:c>
      <x:c r="I776" s="12" t="str">
        <x:v>Не выпущено</x:v>
      </x:c>
      <x:c r="J776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76" s="33" t="str">
        <x:v>https://www.vishay.com/docs/20035/dcrcwe3.pdf</x:v>
      </x:c>
      <x:c r="L776" s="33" t="str"/>
    </x:row>
    <x:row r="777" ht="38" customHeight="1">
      <x:c r="A777" s="2" t="str">
        <x:v>R1206</x:v>
      </x:c>
      <x:c r="B777" s="2" t="str">
        <x:v>10k</x:v>
      </x:c>
      <x:c r="C777" s="2" t="str">
        <x:v>Да</x:v>
      </x:c>
      <x:c r="D777" s="8" t="str">
        <x:v>CRCW060310K0FKEA</x:v>
      </x:c>
      <x:c r="E777" s="2" t="str">
        <x:v>Vishay</x:v>
      </x:c>
      <x:c r="F777" s="8" t="str">
        <x:v>0603</x:v>
      </x:c>
      <x:c r="G777" s="2" t="str">
        <x:v>SURFACE_MOUNT</x:v>
      </x:c>
      <x:c r="H777" s="2" t="str">
        <x:v>SELECTED_FAMILY_CODE</x:v>
      </x:c>
      <x:c r="I777" s="2" t="str">
        <x:v>Не выпущено</x:v>
      </x:c>
      <x:c r="J77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77" s="31" t="str">
        <x:v>https://www.vishay.com/docs/20035/dcrcwe3.pdf</x:v>
      </x:c>
      <x:c r="L777" s="31" t="str"/>
    </x:row>
    <x:row r="778" ht="38" customHeight="1">
      <x:c r="A778" s="12" t="str">
        <x:v>R1213</x:v>
      </x:c>
      <x:c r="B778" s="12" t="str">
        <x:v>47R</x:v>
      </x:c>
      <x:c r="C778" s="12" t="str">
        <x:v>Да</x:v>
      </x:c>
      <x:c r="D778" s="11" t="str">
        <x:v>CRCW060347R0FKEA</x:v>
      </x:c>
      <x:c r="E778" s="12" t="str">
        <x:v>Vishay</x:v>
      </x:c>
      <x:c r="F778" s="11" t="str">
        <x:v>0603</x:v>
      </x:c>
      <x:c r="G778" s="12" t="str">
        <x:v>SURFACE_MOUNT</x:v>
      </x:c>
      <x:c r="H778" s="12" t="str">
        <x:v>SELECTED_FAMILY_CODE</x:v>
      </x:c>
      <x:c r="I778" s="12" t="str">
        <x:v>Не выпущено</x:v>
      </x:c>
      <x:c r="J778" s="33" t="str">
        <x:v>resistance_ohm: 47.0;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78" s="33" t="str">
        <x:v>https://www.vishay.com/docs/20035/dcrcwe3.pdf</x:v>
      </x:c>
      <x:c r="L778" s="33" t="str"/>
    </x:row>
    <x:row r="779" ht="38" customHeight="1">
      <x:c r="A779" s="2" t="str">
        <x:v>R1214</x:v>
      </x:c>
      <x:c r="B779" s="2" t="str">
        <x:v>10k</x:v>
      </x:c>
      <x:c r="C779" s="2" t="str">
        <x:v>Да</x:v>
      </x:c>
      <x:c r="D779" s="8" t="str">
        <x:v>CRCW060310K0FKEA</x:v>
      </x:c>
      <x:c r="E779" s="2" t="str">
        <x:v>Vishay</x:v>
      </x:c>
      <x:c r="F779" s="8" t="str">
        <x:v>0603</x:v>
      </x:c>
      <x:c r="G779" s="2" t="str">
        <x:v>SURFACE_MOUNT</x:v>
      </x:c>
      <x:c r="H779" s="2" t="str">
        <x:v>SELECTED_FAMILY_CODE</x:v>
      </x:c>
      <x:c r="I779" s="2" t="str">
        <x:v>Не выпущено</x:v>
      </x:c>
      <x:c r="J77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79" s="31" t="str">
        <x:v>https://www.vishay.com/docs/20035/dcrcwe3.pdf</x:v>
      </x:c>
      <x:c r="L779" s="31" t="str"/>
    </x:row>
    <x:row r="780" ht="38" customHeight="1">
      <x:c r="A780" s="12" t="str">
        <x:v>R1215</x:v>
      </x:c>
      <x:c r="B780" s="12" t="str">
        <x:v>100R</x:v>
      </x:c>
      <x:c r="C780" s="12" t="str">
        <x:v>Да</x:v>
      </x:c>
      <x:c r="D780" s="11" t="str">
        <x:v>CRCW0603100RFKEA</x:v>
      </x:c>
      <x:c r="E780" s="12" t="str">
        <x:v>Vishay</x:v>
      </x:c>
      <x:c r="F780" s="11" t="str">
        <x:v>0603</x:v>
      </x:c>
      <x:c r="G780" s="12" t="str">
        <x:v>SURFACE_MOUNT</x:v>
      </x:c>
      <x:c r="H780" s="12" t="str">
        <x:v>SELECTED_FAMILY_CODE</x:v>
      </x:c>
      <x:c r="I780" s="12" t="str">
        <x:v>Не выпущено</x:v>
      </x:c>
      <x:c r="J780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80" s="33" t="str">
        <x:v>https://www.vishay.com/docs/20035/dcrcwe3.pdf</x:v>
      </x:c>
      <x:c r="L780" s="33" t="str"/>
    </x:row>
    <x:row r="781" ht="38" customHeight="1">
      <x:c r="A781" s="2" t="str">
        <x:v>R1216</x:v>
      </x:c>
      <x:c r="B781" s="2" t="str">
        <x:v>100R</x:v>
      </x:c>
      <x:c r="C781" s="2" t="str">
        <x:v>Да</x:v>
      </x:c>
      <x:c r="D781" s="8" t="str">
        <x:v>CRCW0603100RFKEA</x:v>
      </x:c>
      <x:c r="E781" s="2" t="str">
        <x:v>Vishay</x:v>
      </x:c>
      <x:c r="F781" s="8" t="str">
        <x:v>0603</x:v>
      </x:c>
      <x:c r="G781" s="2" t="str">
        <x:v>SURFACE_MOUNT</x:v>
      </x:c>
      <x:c r="H781" s="2" t="str">
        <x:v>SELECTED_FAMILY_CODE</x:v>
      </x:c>
      <x:c r="I781" s="2" t="str">
        <x:v>Не выпущено</x:v>
      </x:c>
      <x:c r="J781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81" s="31" t="str">
        <x:v>https://www.vishay.com/docs/20035/dcrcwe3.pdf</x:v>
      </x:c>
      <x:c r="L781" s="31" t="str"/>
    </x:row>
    <x:row r="782" ht="38" customHeight="1">
      <x:c r="A782" s="12" t="str">
        <x:v>R1217</x:v>
      </x:c>
      <x:c r="B782" s="12" t="str">
        <x:v>10k</x:v>
      </x:c>
      <x:c r="C782" s="12" t="str">
        <x:v>Да</x:v>
      </x:c>
      <x:c r="D782" s="11" t="str">
        <x:v>CRCW060310K0FKEA</x:v>
      </x:c>
      <x:c r="E782" s="12" t="str">
        <x:v>Vishay</x:v>
      </x:c>
      <x:c r="F782" s="11" t="str">
        <x:v>0603</x:v>
      </x:c>
      <x:c r="G782" s="12" t="str">
        <x:v>SURFACE_MOUNT</x:v>
      </x:c>
      <x:c r="H782" s="12" t="str">
        <x:v>SELECTED_FAMILY_CODE</x:v>
      </x:c>
      <x:c r="I782" s="12" t="str">
        <x:v>Не выпущено</x:v>
      </x:c>
      <x:c r="J78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82" s="33" t="str">
        <x:v>https://www.vishay.com/docs/20035/dcrcwe3.pdf</x:v>
      </x:c>
      <x:c r="L782" s="33" t="str"/>
    </x:row>
    <x:row r="783" ht="38" customHeight="1">
      <x:c r="A783" s="2" t="str">
        <x:v>R1241</x:v>
      </x:c>
      <x:c r="B783" s="2" t="str">
        <x:v>100k</x:v>
      </x:c>
      <x:c r="C783" s="2" t="str">
        <x:v>Да</x:v>
      </x:c>
      <x:c r="D783" s="8" t="str">
        <x:v>CRCW0603100KFKEA</x:v>
      </x:c>
      <x:c r="E783" s="2" t="str">
        <x:v>Vishay</x:v>
      </x:c>
      <x:c r="F783" s="8" t="str">
        <x:v>0603</x:v>
      </x:c>
      <x:c r="G783" s="2" t="str">
        <x:v>SURFACE_MOUNT</x:v>
      </x:c>
      <x:c r="H783" s="2" t="str">
        <x:v>SELECTED_FAMILY_CODE</x:v>
      </x:c>
      <x:c r="I783" s="2" t="str">
        <x:v>Не выпущено</x:v>
      </x:c>
      <x:c r="J783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83" s="31" t="str">
        <x:v>https://www.vishay.com/docs/20035/dcrcwe3.pdf</x:v>
      </x:c>
      <x:c r="L783" s="31" t="str"/>
    </x:row>
    <x:row r="784" ht="38" customHeight="1">
      <x:c r="A784" s="12" t="str">
        <x:v>R1242</x:v>
      </x:c>
      <x:c r="B784" s="12" t="str">
        <x:v>1k 1%</x:v>
      </x:c>
      <x:c r="C784" s="12" t="str">
        <x:v>Да</x:v>
      </x:c>
      <x:c r="D784" s="11" t="str">
        <x:v>CRCW06031K00FKEA</x:v>
      </x:c>
      <x:c r="E784" s="12" t="str">
        <x:v>Vishay</x:v>
      </x:c>
      <x:c r="F784" s="11" t="str">
        <x:v>0603</x:v>
      </x:c>
      <x:c r="G784" s="12" t="str">
        <x:v>SURFACE_MOUNT</x:v>
      </x:c>
      <x:c r="H784" s="12" t="str">
        <x:v>SELECTED_FAMILY_CODE</x:v>
      </x:c>
      <x:c r="I784" s="12" t="str">
        <x:v>Не выпущено</x:v>
      </x:c>
      <x:c r="J784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84" s="33" t="str">
        <x:v>https://www.vishay.com/docs/20035/dcrcwe3.pdf</x:v>
      </x:c>
      <x:c r="L784" s="33" t="str"/>
    </x:row>
    <x:row r="785" ht="38" customHeight="1">
      <x:c r="A785" s="2" t="str">
        <x:v>R1243</x:v>
      </x:c>
      <x:c r="B785" s="2" t="str">
        <x:v>33R</x:v>
      </x:c>
      <x:c r="C785" s="2" t="str">
        <x:v>Да</x:v>
      </x:c>
      <x:c r="D785" s="8" t="str">
        <x:v>CRCW060333R0FKEA</x:v>
      </x:c>
      <x:c r="E785" s="2" t="str">
        <x:v>Vishay</x:v>
      </x:c>
      <x:c r="F785" s="8" t="str">
        <x:v>0603</x:v>
      </x:c>
      <x:c r="G785" s="2" t="str">
        <x:v>SURFACE_MOUNT</x:v>
      </x:c>
      <x:c r="H785" s="2" t="str">
        <x:v>SELECTED_FAMILY_CODE</x:v>
      </x:c>
      <x:c r="I785" s="2" t="str">
        <x:v>Не выпущено</x:v>
      </x:c>
      <x:c r="J785" s="31" t="str">
        <x:v>resistance_ohm: 33.0;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85" s="31" t="str">
        <x:v>https://www.vishay.com/docs/20035/dcrcwe3.pdf</x:v>
      </x:c>
      <x:c r="L785" s="31" t="str"/>
    </x:row>
    <x:row r="786" ht="38" customHeight="1">
      <x:c r="A786" s="12" t="str">
        <x:v>R1244</x:v>
      </x:c>
      <x:c r="B786" s="12" t="str">
        <x:v>33R</x:v>
      </x:c>
      <x:c r="C786" s="12" t="str">
        <x:v>Да</x:v>
      </x:c>
      <x:c r="D786" s="11" t="str">
        <x:v>CRCW060333R0FKEA</x:v>
      </x:c>
      <x:c r="E786" s="12" t="str">
        <x:v>Vishay</x:v>
      </x:c>
      <x:c r="F786" s="11" t="str">
        <x:v>0603</x:v>
      </x:c>
      <x:c r="G786" s="12" t="str">
        <x:v>SURFACE_MOUNT</x:v>
      </x:c>
      <x:c r="H786" s="12" t="str">
        <x:v>SELECTED_FAMILY_CODE</x:v>
      </x:c>
      <x:c r="I786" s="12" t="str">
        <x:v>Не выпущено</x:v>
      </x:c>
      <x:c r="J786" s="33" t="str">
        <x:v>resistance_ohm: 33.0;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86" s="33" t="str">
        <x:v>https://www.vishay.com/docs/20035/dcrcwe3.pdf</x:v>
      </x:c>
      <x:c r="L786" s="33" t="str"/>
    </x:row>
    <x:row r="787" ht="38" customHeight="1">
      <x:c r="A787" s="2" t="str">
        <x:v>R1501</x:v>
      </x:c>
      <x:c r="B787" s="2" t="str">
        <x:v>10k</x:v>
      </x:c>
      <x:c r="C787" s="2" t="str">
        <x:v>Да</x:v>
      </x:c>
      <x:c r="D787" s="8" t="str">
        <x:v>CRCW060310K0FKEA</x:v>
      </x:c>
      <x:c r="E787" s="2" t="str">
        <x:v>Vishay</x:v>
      </x:c>
      <x:c r="F787" s="8" t="str">
        <x:v>0603</x:v>
      </x:c>
      <x:c r="G787" s="2" t="str">
        <x:v>SURFACE_MOUNT</x:v>
      </x:c>
      <x:c r="H787" s="2" t="str">
        <x:v>SELECTED_FAMILY_CODE</x:v>
      </x:c>
      <x:c r="I787" s="2" t="str">
        <x:v>Не выпущено</x:v>
      </x:c>
      <x:c r="J78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87" s="31" t="str">
        <x:v>https://www.vishay.com/docs/20035/dcrcwe3.pdf</x:v>
      </x:c>
      <x:c r="L787" s="31" t="str"/>
    </x:row>
    <x:row r="788" ht="38" customHeight="1">
      <x:c r="A788" s="12" t="str">
        <x:v>R1502</x:v>
      </x:c>
      <x:c r="B788" s="12" t="str">
        <x:v>120R DNP</x:v>
      </x:c>
      <x:c r="C788" s="12" t="str">
        <x:v>DNP</x:v>
      </x:c>
      <x:c r="D788" s="11" t="str"/>
      <x:c r="E788" s="12" t="str"/>
      <x:c r="F788" s="11" t="str">
        <x:v>Resistor_SMD:R_0603_1608Metric</x:v>
      </x:c>
      <x:c r="G788" s="12" t="str">
        <x:v>SURFACE_MOUNT</x:v>
      </x:c>
      <x:c r="H788" s="12" t="str">
        <x:v>Исключено из закупки</x:v>
      </x:c>
      <x:c r="I788" s="12" t="str">
        <x:v>Нет</x:v>
      </x:c>
      <x:c r="J788" s="33" t="str"/>
      <x:c r="K788" s="33" t="str"/>
      <x:c r="L788" s="33" t="str"/>
    </x:row>
    <x:row r="789" ht="38" customHeight="1">
      <x:c r="A789" s="2" t="str">
        <x:v>R1503</x:v>
      </x:c>
      <x:c r="B789" s="2" t="str">
        <x:v>4.7k</x:v>
      </x:c>
      <x:c r="C789" s="2" t="str">
        <x:v>Да</x:v>
      </x:c>
      <x:c r="D789" s="8" t="str">
        <x:v>CRCW06034K70FKEA</x:v>
      </x:c>
      <x:c r="E789" s="2" t="str">
        <x:v>Vishay</x:v>
      </x:c>
      <x:c r="F789" s="8" t="str">
        <x:v>0603</x:v>
      </x:c>
      <x:c r="G789" s="2" t="str">
        <x:v>SURFACE_MOUNT</x:v>
      </x:c>
      <x:c r="H789" s="2" t="str">
        <x:v>SELECTED_FAMILY_CODE</x:v>
      </x:c>
      <x:c r="I789" s="2" t="str">
        <x:v>Не выпущено</x:v>
      </x:c>
      <x:c r="J789" s="31" t="str">
        <x:v>resistance_ohm: 4700.0;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89" s="31" t="str">
        <x:v>https://www.vishay.com/docs/20035/dcrcwe3.pdf</x:v>
      </x:c>
      <x:c r="L789" s="31" t="str"/>
    </x:row>
    <x:row r="790" ht="38" customHeight="1">
      <x:c r="A790" s="12" t="str">
        <x:v>R1504</x:v>
      </x:c>
      <x:c r="B790" s="12" t="str">
        <x:v>10k</x:v>
      </x:c>
      <x:c r="C790" s="12" t="str">
        <x:v>Да</x:v>
      </x:c>
      <x:c r="D790" s="11" t="str">
        <x:v>CRCW060310K0FKEA</x:v>
      </x:c>
      <x:c r="E790" s="12" t="str">
        <x:v>Vishay</x:v>
      </x:c>
      <x:c r="F790" s="11" t="str">
        <x:v>0603</x:v>
      </x:c>
      <x:c r="G790" s="12" t="str">
        <x:v>SURFACE_MOUNT</x:v>
      </x:c>
      <x:c r="H790" s="12" t="str">
        <x:v>SELECTED_FAMILY_CODE</x:v>
      </x:c>
      <x:c r="I790" s="12" t="str">
        <x:v>Не выпущено</x:v>
      </x:c>
      <x:c r="J79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90" s="33" t="str">
        <x:v>https://www.vishay.com/docs/20035/dcrcwe3.pdf</x:v>
      </x:c>
      <x:c r="L790" s="33" t="str"/>
    </x:row>
    <x:row r="791" ht="38" customHeight="1">
      <x:c r="A791" s="2" t="str">
        <x:v>R1505</x:v>
      </x:c>
      <x:c r="B791" s="2" t="str">
        <x:v>10k</x:v>
      </x:c>
      <x:c r="C791" s="2" t="str">
        <x:v>Да</x:v>
      </x:c>
      <x:c r="D791" s="8" t="str">
        <x:v>CRCW060310K0FKEA</x:v>
      </x:c>
      <x:c r="E791" s="2" t="str">
        <x:v>Vishay</x:v>
      </x:c>
      <x:c r="F791" s="8" t="str">
        <x:v>0603</x:v>
      </x:c>
      <x:c r="G791" s="2" t="str">
        <x:v>SURFACE_MOUNT</x:v>
      </x:c>
      <x:c r="H791" s="2" t="str">
        <x:v>SELECTED_FAMILY_CODE</x:v>
      </x:c>
      <x:c r="I791" s="2" t="str">
        <x:v>Не выпущено</x:v>
      </x:c>
      <x:c r="J791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91" s="31" t="str">
        <x:v>https://www.vishay.com/docs/20035/dcrcwe3.pdf</x:v>
      </x:c>
      <x:c r="L791" s="31" t="str"/>
    </x:row>
    <x:row r="792" ht="38" customHeight="1">
      <x:c r="A792" s="12" t="str">
        <x:v>R1506</x:v>
      </x:c>
      <x:c r="B792" s="12" t="str">
        <x:v>0R</x:v>
      </x:c>
      <x:c r="C792" s="12" t="str">
        <x:v>Да</x:v>
      </x:c>
      <x:c r="D792" s="11" t="str">
        <x:v>CRCW06030000Z0EA</x:v>
      </x:c>
      <x:c r="E792" s="12" t="str">
        <x:v>Vishay</x:v>
      </x:c>
      <x:c r="F792" s="11" t="str">
        <x:v>0603</x:v>
      </x:c>
      <x:c r="G792" s="12" t="str">
        <x:v>SURFACE_MOUNT</x:v>
      </x:c>
      <x:c r="H792" s="12" t="str">
        <x:v>SELECTED_FAMILY_CODE</x:v>
      </x:c>
      <x:c r="I792" s="12" t="str">
        <x:v>Не выпущено</x:v>
      </x:c>
      <x:c r="J792" s="33" t="str">
        <x:v>resistance_ohm: 0.0; tolerance_pct: None; tcr_ppm_c: None; power_w: 0.1; working_voltage_v: 75; power_reference_temperature_c: 70; temperature_min_c: -55; temperature_max_c: 155; technology: jumper; aec_q200: True; current_a: 2</x:v>
      </x:c>
      <x:c r="K792" s="33" t="str">
        <x:v>https://www.vishay.com/docs/20035/dcrcwe3.pdf</x:v>
      </x:c>
      <x:c r="L792" s="33" t="str"/>
    </x:row>
    <x:row r="793" ht="38" customHeight="1">
      <x:c r="A793" s="2" t="str">
        <x:v>R1507</x:v>
      </x:c>
      <x:c r="B793" s="2" t="str">
        <x:v>1k 1% 0.5W</x:v>
      </x:c>
      <x:c r="C793" s="2" t="str">
        <x:v>Да</x:v>
      </x:c>
      <x:c r="D793" s="8" t="str">
        <x:v>CRCW12061K00FKEAHP</x:v>
      </x:c>
      <x:c r="E793" s="2" t="str">
        <x:v>Vishay</x:v>
      </x:c>
      <x:c r="F793" s="8" t="str">
        <x:v>1206</x:v>
      </x:c>
      <x:c r="G793" s="2" t="str">
        <x:v>SURFACE_MOUNT</x:v>
      </x:c>
      <x:c r="H793" s="2" t="str">
        <x:v>SELECTED_CATALOG_ITEM</x:v>
      </x:c>
      <x:c r="I793" s="2" t="str">
        <x:v>Не выпущено</x:v>
      </x:c>
      <x:c r="J793" s="31" t="str">
        <x:v>resistance_ohm: 1000.0; tolerance_pct: 1; tcr_ppm_c: 100; power_w: 0.75; working_voltage_v: 200;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93" s="31" t="str">
        <x:v>https://www.vishay.com/docs/20043/crcwhpe3.pdf; https://www.newark.com/vishay/crcw12061k00fkeahp/surface-mount-thick-film-resistor/dp/41R4820</x:v>
      </x:c>
      <x:c r="L793" s="31" t="str"/>
    </x:row>
    <x:row r="794" ht="38" customHeight="1">
      <x:c r="A794" s="12" t="str">
        <x:v>R1510</x:v>
      </x:c>
      <x:c r="B794" s="12" t="str">
        <x:v>1k</x:v>
      </x:c>
      <x:c r="C794" s="12" t="str">
        <x:v>Да</x:v>
      </x:c>
      <x:c r="D794" s="11" t="str">
        <x:v>CRCW06031K00FKEA</x:v>
      </x:c>
      <x:c r="E794" s="12" t="str">
        <x:v>Vishay</x:v>
      </x:c>
      <x:c r="F794" s="11" t="str">
        <x:v>0603</x:v>
      </x:c>
      <x:c r="G794" s="12" t="str">
        <x:v>SURFACE_MOUNT</x:v>
      </x:c>
      <x:c r="H794" s="12" t="str">
        <x:v>SELECTED_FAMILY_CODE</x:v>
      </x:c>
      <x:c r="I794" s="12" t="str">
        <x:v>Не выпущено</x:v>
      </x:c>
      <x:c r="J794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94" s="33" t="str">
        <x:v>https://www.vishay.com/docs/20035/dcrcwe3.pdf</x:v>
      </x:c>
      <x:c r="L794" s="33" t="str"/>
    </x:row>
    <x:row r="795" ht="38" customHeight="1">
      <x:c r="A795" s="2" t="str">
        <x:v>R1511</x:v>
      </x:c>
      <x:c r="B795" s="2" t="str">
        <x:v>100k</x:v>
      </x:c>
      <x:c r="C795" s="2" t="str">
        <x:v>Да</x:v>
      </x:c>
      <x:c r="D795" s="8" t="str">
        <x:v>CRCW0603100KFKEA</x:v>
      </x:c>
      <x:c r="E795" s="2" t="str">
        <x:v>Vishay</x:v>
      </x:c>
      <x:c r="F795" s="8" t="str">
        <x:v>0603</x:v>
      </x:c>
      <x:c r="G795" s="2" t="str">
        <x:v>SURFACE_MOUNT</x:v>
      </x:c>
      <x:c r="H795" s="2" t="str">
        <x:v>SELECTED_FAMILY_CODE</x:v>
      </x:c>
      <x:c r="I795" s="2" t="str">
        <x:v>Не выпущено</x:v>
      </x:c>
      <x:c r="J795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95" s="31" t="str">
        <x:v>https://www.vishay.com/docs/20035/dcrcwe3.pdf</x:v>
      </x:c>
      <x:c r="L795" s="31" t="str"/>
    </x:row>
    <x:row r="796" ht="38" customHeight="1">
      <x:c r="A796" s="12" t="str">
        <x:v>R1512</x:v>
      </x:c>
      <x:c r="B796" s="12" t="str">
        <x:v>10k</x:v>
      </x:c>
      <x:c r="C796" s="12" t="str">
        <x:v>Да</x:v>
      </x:c>
      <x:c r="D796" s="11" t="str">
        <x:v>CRCW060310K0FKEA</x:v>
      </x:c>
      <x:c r="E796" s="12" t="str">
        <x:v>Vishay</x:v>
      </x:c>
      <x:c r="F796" s="11" t="str">
        <x:v>0603</x:v>
      </x:c>
      <x:c r="G796" s="12" t="str">
        <x:v>SURFACE_MOUNT</x:v>
      </x:c>
      <x:c r="H796" s="12" t="str">
        <x:v>SELECTED_FAMILY_CODE</x:v>
      </x:c>
      <x:c r="I796" s="12" t="str">
        <x:v>Не выпущено</x:v>
      </x:c>
      <x:c r="J79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96" s="33" t="str">
        <x:v>https://www.vishay.com/docs/20035/dcrcwe3.pdf</x:v>
      </x:c>
      <x:c r="L796" s="33" t="str"/>
    </x:row>
    <x:row r="797" ht="38" customHeight="1">
      <x:c r="A797" s="2" t="str">
        <x:v>R1513</x:v>
      </x:c>
      <x:c r="B797" s="2" t="str">
        <x:v>0R DNP</x:v>
      </x:c>
      <x:c r="C797" s="2" t="str">
        <x:v>DNP</x:v>
      </x:c>
      <x:c r="D797" s="8" t="str"/>
      <x:c r="E797" s="2" t="str"/>
      <x:c r="F797" s="8" t="str">
        <x:v>Resistor_SMD:R_0603_1608Metric</x:v>
      </x:c>
      <x:c r="G797" s="2" t="str">
        <x:v>SURFACE_MOUNT</x:v>
      </x:c>
      <x:c r="H797" s="2" t="str">
        <x:v>Исключено из закупки</x:v>
      </x:c>
      <x:c r="I797" s="2" t="str">
        <x:v>Нет</x:v>
      </x:c>
      <x:c r="J797" s="31" t="str"/>
      <x:c r="K797" s="31" t="str"/>
      <x:c r="L797" s="31" t="str"/>
    </x:row>
    <x:row r="798" ht="38" customHeight="1">
      <x:c r="A798" s="12" t="str">
        <x:v>R1520</x:v>
      </x:c>
      <x:c r="B798" s="12" t="str">
        <x:v>0R</x:v>
      </x:c>
      <x:c r="C798" s="12" t="str">
        <x:v>Да</x:v>
      </x:c>
      <x:c r="D798" s="11" t="str">
        <x:v>CRCW06030000Z0EA</x:v>
      </x:c>
      <x:c r="E798" s="12" t="str">
        <x:v>Vishay</x:v>
      </x:c>
      <x:c r="F798" s="11" t="str">
        <x:v>0603</x:v>
      </x:c>
      <x:c r="G798" s="12" t="str">
        <x:v>SURFACE_MOUNT</x:v>
      </x:c>
      <x:c r="H798" s="12" t="str">
        <x:v>SELECTED_FAMILY_CODE</x:v>
      </x:c>
      <x:c r="I798" s="12" t="str">
        <x:v>Не выпущено</x:v>
      </x:c>
      <x:c r="J798" s="33" t="str">
        <x:v>resistance_ohm: 0.0; tolerance_pct: None; tcr_ppm_c: None; power_w: 0.1; working_voltage_v: 75; power_reference_temperature_c: 70; temperature_min_c: -55; temperature_max_c: 155; technology: jumper; aec_q200: True; current_a: 2</x:v>
      </x:c>
      <x:c r="K798" s="33" t="str">
        <x:v>https://www.vishay.com/docs/20035/dcrcwe3.pdf</x:v>
      </x:c>
      <x:c r="L798" s="33" t="str"/>
    </x:row>
    <x:row r="799" ht="38" customHeight="1">
      <x:c r="A799" s="2" t="str">
        <x:v>R1521</x:v>
      </x:c>
      <x:c r="B799" s="2" t="str">
        <x:v>22R</x:v>
      </x:c>
      <x:c r="C799" s="2" t="str">
        <x:v>Да</x:v>
      </x:c>
      <x:c r="D799" s="8" t="str">
        <x:v>CRCW060322R0FKEA</x:v>
      </x:c>
      <x:c r="E799" s="2" t="str">
        <x:v>Vishay</x:v>
      </x:c>
      <x:c r="F799" s="8" t="str">
        <x:v>0603</x:v>
      </x:c>
      <x:c r="G799" s="2" t="str">
        <x:v>SURFACE_MOUNT</x:v>
      </x:c>
      <x:c r="H799" s="2" t="str">
        <x:v>SELECTED_FAMILY_CODE</x:v>
      </x:c>
      <x:c r="I799" s="2" t="str">
        <x:v>Не выпущено</x:v>
      </x:c>
      <x:c r="J799" s="31" t="str">
        <x:v>resistance_ohm: 22.0;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799" s="31" t="str">
        <x:v>https://www.vishay.com/docs/20035/dcrcwe3.pdf</x:v>
      </x:c>
      <x:c r="L799" s="31" t="str"/>
    </x:row>
    <x:row r="800" ht="38" customHeight="1">
      <x:c r="A800" s="12" t="str">
        <x:v>R1522</x:v>
      </x:c>
      <x:c r="B800" s="12" t="str">
        <x:v>22R</x:v>
      </x:c>
      <x:c r="C800" s="12" t="str">
        <x:v>Да</x:v>
      </x:c>
      <x:c r="D800" s="11" t="str">
        <x:v>CRCW060322R0FKEA</x:v>
      </x:c>
      <x:c r="E800" s="12" t="str">
        <x:v>Vishay</x:v>
      </x:c>
      <x:c r="F800" s="11" t="str">
        <x:v>0603</x:v>
      </x:c>
      <x:c r="G800" s="12" t="str">
        <x:v>SURFACE_MOUNT</x:v>
      </x:c>
      <x:c r="H800" s="12" t="str">
        <x:v>SELECTED_FAMILY_CODE</x:v>
      </x:c>
      <x:c r="I800" s="12" t="str">
        <x:v>Не выпущено</x:v>
      </x:c>
      <x:c r="J800" s="33" t="str">
        <x:v>resistance_ohm: 22.0;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00" s="33" t="str">
        <x:v>https://www.vishay.com/docs/20035/dcrcwe3.pdf</x:v>
      </x:c>
      <x:c r="L800" s="33" t="str"/>
    </x:row>
    <x:row r="801" ht="38" customHeight="1">
      <x:c r="A801" s="2" t="str">
        <x:v>R1523</x:v>
      </x:c>
      <x:c r="B801" s="2" t="str">
        <x:v>47k</x:v>
      </x:c>
      <x:c r="C801" s="2" t="str">
        <x:v>Да</x:v>
      </x:c>
      <x:c r="D801" s="8" t="str">
        <x:v>CRCW060347K0FKEA</x:v>
      </x:c>
      <x:c r="E801" s="2" t="str">
        <x:v>Vishay</x:v>
      </x:c>
      <x:c r="F801" s="8" t="str">
        <x:v>0603</x:v>
      </x:c>
      <x:c r="G801" s="2" t="str">
        <x:v>SURFACE_MOUNT</x:v>
      </x:c>
      <x:c r="H801" s="2" t="str">
        <x:v>SELECTED_FAMILY_CODE</x:v>
      </x:c>
      <x:c r="I801" s="2" t="str">
        <x:v>Не выпущено</x:v>
      </x:c>
      <x:c r="J801" s="31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01" s="31" t="str">
        <x:v>https://www.vishay.com/docs/20035/dcrcwe3.pdf</x:v>
      </x:c>
      <x:c r="L801" s="31" t="str"/>
    </x:row>
    <x:row r="802" ht="38" customHeight="1">
      <x:c r="A802" s="12" t="str">
        <x:v>R1524</x:v>
      </x:c>
      <x:c r="B802" s="12" t="str">
        <x:v>47k</x:v>
      </x:c>
      <x:c r="C802" s="12" t="str">
        <x:v>Да</x:v>
      </x:c>
      <x:c r="D802" s="11" t="str">
        <x:v>CRCW060347K0FKEA</x:v>
      </x:c>
      <x:c r="E802" s="12" t="str">
        <x:v>Vishay</x:v>
      </x:c>
      <x:c r="F802" s="11" t="str">
        <x:v>0603</x:v>
      </x:c>
      <x:c r="G802" s="12" t="str">
        <x:v>SURFACE_MOUNT</x:v>
      </x:c>
      <x:c r="H802" s="12" t="str">
        <x:v>SELECTED_FAMILY_CODE</x:v>
      </x:c>
      <x:c r="I802" s="12" t="str">
        <x:v>Не выпущено</x:v>
      </x:c>
      <x:c r="J802" s="33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02" s="33" t="str">
        <x:v>https://www.vishay.com/docs/20035/dcrcwe3.pdf</x:v>
      </x:c>
      <x:c r="L802" s="33" t="str"/>
    </x:row>
    <x:row r="803" ht="38" customHeight="1">
      <x:c r="A803" s="2" t="str">
        <x:v>R1525</x:v>
      </x:c>
      <x:c r="B803" s="2" t="str">
        <x:v>47k</x:v>
      </x:c>
      <x:c r="C803" s="2" t="str">
        <x:v>Да</x:v>
      </x:c>
      <x:c r="D803" s="8" t="str">
        <x:v>CRCW060347K0FKEA</x:v>
      </x:c>
      <x:c r="E803" s="2" t="str">
        <x:v>Vishay</x:v>
      </x:c>
      <x:c r="F803" s="8" t="str">
        <x:v>0603</x:v>
      </x:c>
      <x:c r="G803" s="2" t="str">
        <x:v>SURFACE_MOUNT</x:v>
      </x:c>
      <x:c r="H803" s="2" t="str">
        <x:v>SELECTED_FAMILY_CODE</x:v>
      </x:c>
      <x:c r="I803" s="2" t="str">
        <x:v>Не выпущено</x:v>
      </x:c>
      <x:c r="J803" s="31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03" s="31" t="str">
        <x:v>https://www.vishay.com/docs/20035/dcrcwe3.pdf</x:v>
      </x:c>
      <x:c r="L803" s="31" t="str"/>
    </x:row>
    <x:row r="804" ht="38" customHeight="1">
      <x:c r="A804" s="12" t="str">
        <x:v>R1526</x:v>
      </x:c>
      <x:c r="B804" s="12" t="str">
        <x:v>47k</x:v>
      </x:c>
      <x:c r="C804" s="12" t="str">
        <x:v>Да</x:v>
      </x:c>
      <x:c r="D804" s="11" t="str">
        <x:v>CRCW060347K0FKEA</x:v>
      </x:c>
      <x:c r="E804" s="12" t="str">
        <x:v>Vishay</x:v>
      </x:c>
      <x:c r="F804" s="11" t="str">
        <x:v>0603</x:v>
      </x:c>
      <x:c r="G804" s="12" t="str">
        <x:v>SURFACE_MOUNT</x:v>
      </x:c>
      <x:c r="H804" s="12" t="str">
        <x:v>SELECTED_FAMILY_CODE</x:v>
      </x:c>
      <x:c r="I804" s="12" t="str">
        <x:v>Не выпущено</x:v>
      </x:c>
      <x:c r="J804" s="33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04" s="33" t="str">
        <x:v>https://www.vishay.com/docs/20035/dcrcwe3.pdf</x:v>
      </x:c>
      <x:c r="L804" s="33" t="str"/>
    </x:row>
    <x:row r="805" ht="38" customHeight="1">
      <x:c r="A805" s="2" t="str">
        <x:v>R1527</x:v>
      </x:c>
      <x:c r="B805" s="2" t="str">
        <x:v>47k</x:v>
      </x:c>
      <x:c r="C805" s="2" t="str">
        <x:v>Да</x:v>
      </x:c>
      <x:c r="D805" s="8" t="str">
        <x:v>CRCW060347K0FKEA</x:v>
      </x:c>
      <x:c r="E805" s="2" t="str">
        <x:v>Vishay</x:v>
      </x:c>
      <x:c r="F805" s="8" t="str">
        <x:v>0603</x:v>
      </x:c>
      <x:c r="G805" s="2" t="str">
        <x:v>SURFACE_MOUNT</x:v>
      </x:c>
      <x:c r="H805" s="2" t="str">
        <x:v>SELECTED_FAMILY_CODE</x:v>
      </x:c>
      <x:c r="I805" s="2" t="str">
        <x:v>Не выпущено</x:v>
      </x:c>
      <x:c r="J805" s="31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05" s="31" t="str">
        <x:v>https://www.vishay.com/docs/20035/dcrcwe3.pdf</x:v>
      </x:c>
      <x:c r="L805" s="31" t="str"/>
    </x:row>
    <x:row r="806" ht="38" customHeight="1">
      <x:c r="A806" s="12" t="str">
        <x:v>R1528</x:v>
      </x:c>
      <x:c r="B806" s="12" t="str">
        <x:v>47k</x:v>
      </x:c>
      <x:c r="C806" s="12" t="str">
        <x:v>Да</x:v>
      </x:c>
      <x:c r="D806" s="11" t="str">
        <x:v>CRCW060347K0FKEA</x:v>
      </x:c>
      <x:c r="E806" s="12" t="str">
        <x:v>Vishay</x:v>
      </x:c>
      <x:c r="F806" s="11" t="str">
        <x:v>0603</x:v>
      </x:c>
      <x:c r="G806" s="12" t="str">
        <x:v>SURFACE_MOUNT</x:v>
      </x:c>
      <x:c r="H806" s="12" t="str">
        <x:v>SELECTED_FAMILY_CODE</x:v>
      </x:c>
      <x:c r="I806" s="12" t="str">
        <x:v>Не выпущено</x:v>
      </x:c>
      <x:c r="J806" s="33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06" s="33" t="str">
        <x:v>https://www.vishay.com/docs/20035/dcrcwe3.pdf</x:v>
      </x:c>
      <x:c r="L806" s="33" t="str"/>
    </x:row>
    <x:row r="807" ht="38" customHeight="1">
      <x:c r="A807" s="2" t="str">
        <x:v>R1530</x:v>
      </x:c>
      <x:c r="B807" s="2" t="str">
        <x:v>0R star return</x:v>
      </x:c>
      <x:c r="C807" s="2" t="str">
        <x:v>Да</x:v>
      </x:c>
      <x:c r="D807" s="8" t="str">
        <x:v>CRCW08050000Z0EA</x:v>
      </x:c>
      <x:c r="E807" s="2" t="str">
        <x:v>Vishay</x:v>
      </x:c>
      <x:c r="F807" s="8" t="str">
        <x:v>0805</x:v>
      </x:c>
      <x:c r="G807" s="2" t="str">
        <x:v>SURFACE_MOUNT</x:v>
      </x:c>
      <x:c r="H807" s="2" t="str">
        <x:v>SELECTED_FAMILY_CODE</x:v>
      </x:c>
      <x:c r="I807" s="2" t="str">
        <x:v>Не выпущено</x:v>
      </x:c>
      <x:c r="J807" s="31" t="str">
        <x:v>resistance_ohm: 0.0; tolerance_pct: None; tcr_ppm_c: None; power_w: 0.125; working_voltage_v: 150; power_reference_temperature_c: 70; temperature_min_c: -55; temperature_max_c: 155; technology: jumper; aec_q200: True; current_a: 2.5</x:v>
      </x:c>
      <x:c r="K807" s="31" t="str">
        <x:v>https://www.vishay.com/docs/20035/dcrcwe3.pdf</x:v>
      </x:c>
      <x:c r="L807" s="31" t="str"/>
    </x:row>
    <x:row r="808" ht="38" customHeight="1">
      <x:c r="A808" s="12" t="str">
        <x:v>R1531</x:v>
      </x:c>
      <x:c r="B808" s="12" t="str">
        <x:v>0R star return</x:v>
      </x:c>
      <x:c r="C808" s="12" t="str">
        <x:v>Да</x:v>
      </x:c>
      <x:c r="D808" s="11" t="str">
        <x:v>CRCW08050000Z0EA</x:v>
      </x:c>
      <x:c r="E808" s="12" t="str">
        <x:v>Vishay</x:v>
      </x:c>
      <x:c r="F808" s="11" t="str">
        <x:v>0805</x:v>
      </x:c>
      <x:c r="G808" s="12" t="str">
        <x:v>SURFACE_MOUNT</x:v>
      </x:c>
      <x:c r="H808" s="12" t="str">
        <x:v>SELECTED_FAMILY_CODE</x:v>
      </x:c>
      <x:c r="I808" s="12" t="str">
        <x:v>Не выпущено</x:v>
      </x:c>
      <x:c r="J808" s="33" t="str">
        <x:v>resistance_ohm: 0.0; tolerance_pct: None; tcr_ppm_c: None; power_w: 0.125; working_voltage_v: 150; power_reference_temperature_c: 70; temperature_min_c: -55; temperature_max_c: 155; technology: jumper; aec_q200: True; current_a: 2.5</x:v>
      </x:c>
      <x:c r="K808" s="33" t="str">
        <x:v>https://www.vishay.com/docs/20035/dcrcwe3.pdf</x:v>
      </x:c>
      <x:c r="L808" s="33" t="str"/>
    </x:row>
    <x:row r="809" ht="38" customHeight="1">
      <x:c r="A809" s="2" t="str">
        <x:v>R1532</x:v>
      </x:c>
      <x:c r="B809" s="2" t="str">
        <x:v>0R star return</x:v>
      </x:c>
      <x:c r="C809" s="2" t="str">
        <x:v>Да</x:v>
      </x:c>
      <x:c r="D809" s="8" t="str">
        <x:v>CRCW08050000Z0EA</x:v>
      </x:c>
      <x:c r="E809" s="2" t="str">
        <x:v>Vishay</x:v>
      </x:c>
      <x:c r="F809" s="8" t="str">
        <x:v>0805</x:v>
      </x:c>
      <x:c r="G809" s="2" t="str">
        <x:v>SURFACE_MOUNT</x:v>
      </x:c>
      <x:c r="H809" s="2" t="str">
        <x:v>SELECTED_FAMILY_CODE</x:v>
      </x:c>
      <x:c r="I809" s="2" t="str">
        <x:v>Не выпущено</x:v>
      </x:c>
      <x:c r="J809" s="31" t="str">
        <x:v>resistance_ohm: 0.0; tolerance_pct: None; tcr_ppm_c: None; power_w: 0.125; working_voltage_v: 150; power_reference_temperature_c: 70; temperature_min_c: -55; temperature_max_c: 155; technology: jumper; aec_q200: True; current_a: 2.5</x:v>
      </x:c>
      <x:c r="K809" s="31" t="str">
        <x:v>https://www.vishay.com/docs/20035/dcrcwe3.pdf</x:v>
      </x:c>
      <x:c r="L809" s="31" t="str"/>
    </x:row>
    <x:row r="810" ht="38" customHeight="1">
      <x:c r="A810" s="12" t="str">
        <x:v>R1600</x:v>
      </x:c>
      <x:c r="B810" s="12" t="str">
        <x:v>10k</x:v>
      </x:c>
      <x:c r="C810" s="12" t="str">
        <x:v>Да</x:v>
      </x:c>
      <x:c r="D810" s="11" t="str">
        <x:v>CRCW060310K0FKEA</x:v>
      </x:c>
      <x:c r="E810" s="12" t="str">
        <x:v>Vishay</x:v>
      </x:c>
      <x:c r="F810" s="11" t="str">
        <x:v>0603</x:v>
      </x:c>
      <x:c r="G810" s="12" t="str">
        <x:v>SURFACE_MOUNT</x:v>
      </x:c>
      <x:c r="H810" s="12" t="str">
        <x:v>SELECTED_FAMILY_CODE</x:v>
      </x:c>
      <x:c r="I810" s="12" t="str">
        <x:v>Не выпущено</x:v>
      </x:c>
      <x:c r="J81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10" s="33" t="str">
        <x:v>https://www.vishay.com/docs/20035/dcrcwe3.pdf</x:v>
      </x:c>
      <x:c r="L810" s="33" t="str"/>
    </x:row>
    <x:row r="811" ht="38" customHeight="1">
      <x:c r="A811" s="2" t="str">
        <x:v>R1601</x:v>
      </x:c>
      <x:c r="B811" s="2" t="str">
        <x:v>47k</x:v>
      </x:c>
      <x:c r="C811" s="2" t="str">
        <x:v>Да</x:v>
      </x:c>
      <x:c r="D811" s="8" t="str">
        <x:v>CRCW060347K0FKEA</x:v>
      </x:c>
      <x:c r="E811" s="2" t="str">
        <x:v>Vishay</x:v>
      </x:c>
      <x:c r="F811" s="8" t="str">
        <x:v>0603</x:v>
      </x:c>
      <x:c r="G811" s="2" t="str">
        <x:v>SURFACE_MOUNT</x:v>
      </x:c>
      <x:c r="H811" s="2" t="str">
        <x:v>SELECTED_FAMILY_CODE</x:v>
      </x:c>
      <x:c r="I811" s="2" t="str">
        <x:v>Не выпущено</x:v>
      </x:c>
      <x:c r="J811" s="31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11" s="31" t="str">
        <x:v>https://www.vishay.com/docs/20035/dcrcwe3.pdf</x:v>
      </x:c>
      <x:c r="L811" s="31" t="str"/>
    </x:row>
    <x:row r="812" ht="38" customHeight="1">
      <x:c r="A812" s="12" t="str">
        <x:v>R1602</x:v>
      </x:c>
      <x:c r="B812" s="12" t="str">
        <x:v>10k DNP</x:v>
      </x:c>
      <x:c r="C812" s="12" t="str">
        <x:v>DNP</x:v>
      </x:c>
      <x:c r="D812" s="11" t="str"/>
      <x:c r="E812" s="12" t="str"/>
      <x:c r="F812" s="11" t="str">
        <x:v>Resistor_SMD:R_0603_1608Metric</x:v>
      </x:c>
      <x:c r="G812" s="12" t="str">
        <x:v>SURFACE_MOUNT</x:v>
      </x:c>
      <x:c r="H812" s="12" t="str">
        <x:v>Исключено из закупки</x:v>
      </x:c>
      <x:c r="I812" s="12" t="str">
        <x:v>Нет</x:v>
      </x:c>
      <x:c r="J812" s="33" t="str"/>
      <x:c r="K812" s="33" t="str"/>
      <x:c r="L812" s="33" t="str"/>
    </x:row>
    <x:row r="813" ht="38" customHeight="1">
      <x:c r="A813" s="2" t="str">
        <x:v>R1603</x:v>
      </x:c>
      <x:c r="B813" s="2" t="str">
        <x:v>10k</x:v>
      </x:c>
      <x:c r="C813" s="2" t="str">
        <x:v>Да</x:v>
      </x:c>
      <x:c r="D813" s="8" t="str">
        <x:v>CRCW060310K0FKEA</x:v>
      </x:c>
      <x:c r="E813" s="2" t="str">
        <x:v>Vishay</x:v>
      </x:c>
      <x:c r="F813" s="8" t="str">
        <x:v>0603</x:v>
      </x:c>
      <x:c r="G813" s="2" t="str">
        <x:v>SURFACE_MOUNT</x:v>
      </x:c>
      <x:c r="H813" s="2" t="str">
        <x:v>SELECTED_FAMILY_CODE</x:v>
      </x:c>
      <x:c r="I813" s="2" t="str">
        <x:v>Не выпущено</x:v>
      </x:c>
      <x:c r="J81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13" s="31" t="str">
        <x:v>https://www.vishay.com/docs/20035/dcrcwe3.pdf</x:v>
      </x:c>
      <x:c r="L813" s="31" t="str"/>
    </x:row>
    <x:row r="814" ht="38" customHeight="1">
      <x:c r="A814" s="12" t="str">
        <x:v>R1604</x:v>
      </x:c>
      <x:c r="B814" s="12" t="str">
        <x:v>47k</x:v>
      </x:c>
      <x:c r="C814" s="12" t="str">
        <x:v>Да</x:v>
      </x:c>
      <x:c r="D814" s="11" t="str">
        <x:v>CRCW060347K0FKEA</x:v>
      </x:c>
      <x:c r="E814" s="12" t="str">
        <x:v>Vishay</x:v>
      </x:c>
      <x:c r="F814" s="11" t="str">
        <x:v>0603</x:v>
      </x:c>
      <x:c r="G814" s="12" t="str">
        <x:v>SURFACE_MOUNT</x:v>
      </x:c>
      <x:c r="H814" s="12" t="str">
        <x:v>SELECTED_FAMILY_CODE</x:v>
      </x:c>
      <x:c r="I814" s="12" t="str">
        <x:v>Не выпущено</x:v>
      </x:c>
      <x:c r="J814" s="33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14" s="33" t="str">
        <x:v>https://www.vishay.com/docs/20035/dcrcwe3.pdf</x:v>
      </x:c>
      <x:c r="L814" s="33" t="str"/>
    </x:row>
    <x:row r="815" ht="38" customHeight="1">
      <x:c r="A815" s="2" t="str">
        <x:v>R1605</x:v>
      </x:c>
      <x:c r="B815" s="2" t="str">
        <x:v>10k DNP</x:v>
      </x:c>
      <x:c r="C815" s="2" t="str">
        <x:v>DNP</x:v>
      </x:c>
      <x:c r="D815" s="8" t="str"/>
      <x:c r="E815" s="2" t="str"/>
      <x:c r="F815" s="8" t="str">
        <x:v>Resistor_SMD:R_0603_1608Metric</x:v>
      </x:c>
      <x:c r="G815" s="2" t="str">
        <x:v>SURFACE_MOUNT</x:v>
      </x:c>
      <x:c r="H815" s="2" t="str">
        <x:v>Исключено из закупки</x:v>
      </x:c>
      <x:c r="I815" s="2" t="str">
        <x:v>Нет</x:v>
      </x:c>
      <x:c r="J815" s="31" t="str"/>
      <x:c r="K815" s="31" t="str"/>
      <x:c r="L815" s="31" t="str"/>
    </x:row>
    <x:row r="816" ht="38" customHeight="1">
      <x:c r="A816" s="12" t="str">
        <x:v>R1606</x:v>
      </x:c>
      <x:c r="B816" s="12" t="str">
        <x:v>10k</x:v>
      </x:c>
      <x:c r="C816" s="12" t="str">
        <x:v>Да</x:v>
      </x:c>
      <x:c r="D816" s="11" t="str">
        <x:v>CRCW060310K0FKEA</x:v>
      </x:c>
      <x:c r="E816" s="12" t="str">
        <x:v>Vishay</x:v>
      </x:c>
      <x:c r="F816" s="11" t="str">
        <x:v>0603</x:v>
      </x:c>
      <x:c r="G816" s="12" t="str">
        <x:v>SURFACE_MOUNT</x:v>
      </x:c>
      <x:c r="H816" s="12" t="str">
        <x:v>SELECTED_FAMILY_CODE</x:v>
      </x:c>
      <x:c r="I816" s="12" t="str">
        <x:v>Не выпущено</x:v>
      </x:c>
      <x:c r="J81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16" s="33" t="str">
        <x:v>https://www.vishay.com/docs/20035/dcrcwe3.pdf</x:v>
      </x:c>
      <x:c r="L816" s="33" t="str"/>
    </x:row>
    <x:row r="817" ht="38" customHeight="1">
      <x:c r="A817" s="2" t="str">
        <x:v>R1607</x:v>
      </x:c>
      <x:c r="B817" s="2" t="str">
        <x:v>47k</x:v>
      </x:c>
      <x:c r="C817" s="2" t="str">
        <x:v>Да</x:v>
      </x:c>
      <x:c r="D817" s="8" t="str">
        <x:v>CRCW060347K0FKEA</x:v>
      </x:c>
      <x:c r="E817" s="2" t="str">
        <x:v>Vishay</x:v>
      </x:c>
      <x:c r="F817" s="8" t="str">
        <x:v>0603</x:v>
      </x:c>
      <x:c r="G817" s="2" t="str">
        <x:v>SURFACE_MOUNT</x:v>
      </x:c>
      <x:c r="H817" s="2" t="str">
        <x:v>SELECTED_FAMILY_CODE</x:v>
      </x:c>
      <x:c r="I817" s="2" t="str">
        <x:v>Не выпущено</x:v>
      </x:c>
      <x:c r="J817" s="31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17" s="31" t="str">
        <x:v>https://www.vishay.com/docs/20035/dcrcwe3.pdf</x:v>
      </x:c>
      <x:c r="L817" s="31" t="str"/>
    </x:row>
    <x:row r="818" ht="38" customHeight="1">
      <x:c r="A818" s="12" t="str">
        <x:v>R1608</x:v>
      </x:c>
      <x:c r="B818" s="12" t="str">
        <x:v>10k DNP</x:v>
      </x:c>
      <x:c r="C818" s="12" t="str">
        <x:v>DNP</x:v>
      </x:c>
      <x:c r="D818" s="11" t="str"/>
      <x:c r="E818" s="12" t="str"/>
      <x:c r="F818" s="11" t="str">
        <x:v>Resistor_SMD:R_0603_1608Metric</x:v>
      </x:c>
      <x:c r="G818" s="12" t="str">
        <x:v>SURFACE_MOUNT</x:v>
      </x:c>
      <x:c r="H818" s="12" t="str">
        <x:v>Исключено из закупки</x:v>
      </x:c>
      <x:c r="I818" s="12" t="str">
        <x:v>Нет</x:v>
      </x:c>
      <x:c r="J818" s="33" t="str"/>
      <x:c r="K818" s="33" t="str"/>
      <x:c r="L818" s="33" t="str"/>
    </x:row>
    <x:row r="819" ht="38" customHeight="1">
      <x:c r="A819" s="2" t="str">
        <x:v>R1609</x:v>
      </x:c>
      <x:c r="B819" s="2" t="str">
        <x:v>10k</x:v>
      </x:c>
      <x:c r="C819" s="2" t="str">
        <x:v>Да</x:v>
      </x:c>
      <x:c r="D819" s="8" t="str">
        <x:v>CRCW060310K0FKEA</x:v>
      </x:c>
      <x:c r="E819" s="2" t="str">
        <x:v>Vishay</x:v>
      </x:c>
      <x:c r="F819" s="8" t="str">
        <x:v>0603</x:v>
      </x:c>
      <x:c r="G819" s="2" t="str">
        <x:v>SURFACE_MOUNT</x:v>
      </x:c>
      <x:c r="H819" s="2" t="str">
        <x:v>SELECTED_FAMILY_CODE</x:v>
      </x:c>
      <x:c r="I819" s="2" t="str">
        <x:v>Не выпущено</x:v>
      </x:c>
      <x:c r="J81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19" s="31" t="str">
        <x:v>https://www.vishay.com/docs/20035/dcrcwe3.pdf</x:v>
      </x:c>
      <x:c r="L819" s="31" t="str"/>
    </x:row>
    <x:row r="820" ht="38" customHeight="1">
      <x:c r="A820" s="12" t="str">
        <x:v>R1610</x:v>
      </x:c>
      <x:c r="B820" s="12" t="str">
        <x:v>47k</x:v>
      </x:c>
      <x:c r="C820" s="12" t="str">
        <x:v>Да</x:v>
      </x:c>
      <x:c r="D820" s="11" t="str">
        <x:v>CRCW060347K0FKEA</x:v>
      </x:c>
      <x:c r="E820" s="12" t="str">
        <x:v>Vishay</x:v>
      </x:c>
      <x:c r="F820" s="11" t="str">
        <x:v>0603</x:v>
      </x:c>
      <x:c r="G820" s="12" t="str">
        <x:v>SURFACE_MOUNT</x:v>
      </x:c>
      <x:c r="H820" s="12" t="str">
        <x:v>SELECTED_FAMILY_CODE</x:v>
      </x:c>
      <x:c r="I820" s="12" t="str">
        <x:v>Не выпущено</x:v>
      </x:c>
      <x:c r="J820" s="33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20" s="33" t="str">
        <x:v>https://www.vishay.com/docs/20035/dcrcwe3.pdf</x:v>
      </x:c>
      <x:c r="L820" s="33" t="str"/>
    </x:row>
    <x:row r="821" ht="38" customHeight="1">
      <x:c r="A821" s="2" t="str">
        <x:v>R1611</x:v>
      </x:c>
      <x:c r="B821" s="2" t="str">
        <x:v>10k DNP</x:v>
      </x:c>
      <x:c r="C821" s="2" t="str">
        <x:v>DNP</x:v>
      </x:c>
      <x:c r="D821" s="8" t="str"/>
      <x:c r="E821" s="2" t="str"/>
      <x:c r="F821" s="8" t="str">
        <x:v>Resistor_SMD:R_0603_1608Metric</x:v>
      </x:c>
      <x:c r="G821" s="2" t="str">
        <x:v>SURFACE_MOUNT</x:v>
      </x:c>
      <x:c r="H821" s="2" t="str">
        <x:v>Исключено из закупки</x:v>
      </x:c>
      <x:c r="I821" s="2" t="str">
        <x:v>Нет</x:v>
      </x:c>
      <x:c r="J821" s="31" t="str"/>
      <x:c r="K821" s="31" t="str"/>
      <x:c r="L821" s="31" t="str"/>
    </x:row>
    <x:row r="822" ht="38" customHeight="1">
      <x:c r="A822" s="12" t="str">
        <x:v>R1612</x:v>
      </x:c>
      <x:c r="B822" s="12" t="str">
        <x:v>10k</x:v>
      </x:c>
      <x:c r="C822" s="12" t="str">
        <x:v>Да</x:v>
      </x:c>
      <x:c r="D822" s="11" t="str">
        <x:v>CRCW060310K0FKEA</x:v>
      </x:c>
      <x:c r="E822" s="12" t="str">
        <x:v>Vishay</x:v>
      </x:c>
      <x:c r="F822" s="11" t="str">
        <x:v>0603</x:v>
      </x:c>
      <x:c r="G822" s="12" t="str">
        <x:v>SURFACE_MOUNT</x:v>
      </x:c>
      <x:c r="H822" s="12" t="str">
        <x:v>SELECTED_FAMILY_CODE</x:v>
      </x:c>
      <x:c r="I822" s="12" t="str">
        <x:v>Не выпущено</x:v>
      </x:c>
      <x:c r="J82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22" s="33" t="str">
        <x:v>https://www.vishay.com/docs/20035/dcrcwe3.pdf</x:v>
      </x:c>
      <x:c r="L822" s="33" t="str"/>
    </x:row>
    <x:row r="823" ht="38" customHeight="1">
      <x:c r="A823" s="2" t="str">
        <x:v>R1613</x:v>
      </x:c>
      <x:c r="B823" s="2" t="str">
        <x:v>47k</x:v>
      </x:c>
      <x:c r="C823" s="2" t="str">
        <x:v>Да</x:v>
      </x:c>
      <x:c r="D823" s="8" t="str">
        <x:v>CRCW060347K0FKEA</x:v>
      </x:c>
      <x:c r="E823" s="2" t="str">
        <x:v>Vishay</x:v>
      </x:c>
      <x:c r="F823" s="8" t="str">
        <x:v>0603</x:v>
      </x:c>
      <x:c r="G823" s="2" t="str">
        <x:v>SURFACE_MOUNT</x:v>
      </x:c>
      <x:c r="H823" s="2" t="str">
        <x:v>SELECTED_FAMILY_CODE</x:v>
      </x:c>
      <x:c r="I823" s="2" t="str">
        <x:v>Не выпущено</x:v>
      </x:c>
      <x:c r="J823" s="31" t="str">
        <x:v>resistance_ohm: 47000.0;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23" s="31" t="str">
        <x:v>https://www.vishay.com/docs/20035/dcrcwe3.pdf</x:v>
      </x:c>
      <x:c r="L823" s="31" t="str"/>
    </x:row>
    <x:row r="824" ht="38" customHeight="1">
      <x:c r="A824" s="12" t="str">
        <x:v>R1614</x:v>
      </x:c>
      <x:c r="B824" s="12" t="str">
        <x:v>10k DNP</x:v>
      </x:c>
      <x:c r="C824" s="12" t="str">
        <x:v>DNP</x:v>
      </x:c>
      <x:c r="D824" s="11" t="str"/>
      <x:c r="E824" s="12" t="str"/>
      <x:c r="F824" s="11" t="str">
        <x:v>Resistor_SMD:R_0603_1608Metric</x:v>
      </x:c>
      <x:c r="G824" s="12" t="str">
        <x:v>SURFACE_MOUNT</x:v>
      </x:c>
      <x:c r="H824" s="12" t="str">
        <x:v>Исключено из закупки</x:v>
      </x:c>
      <x:c r="I824" s="12" t="str">
        <x:v>Нет</x:v>
      </x:c>
      <x:c r="J824" s="33" t="str"/>
      <x:c r="K824" s="33" t="str"/>
      <x:c r="L824" s="33" t="str"/>
    </x:row>
    <x:row r="825" ht="38" customHeight="1">
      <x:c r="A825" s="2" t="str">
        <x:v>R1701</x:v>
      </x:c>
      <x:c r="B825" s="2" t="str">
        <x:v>10k 1%</x:v>
      </x:c>
      <x:c r="C825" s="2" t="str">
        <x:v>Да</x:v>
      </x:c>
      <x:c r="D825" s="8" t="str">
        <x:v>CRCW060310K0FKEA</x:v>
      </x:c>
      <x:c r="E825" s="2" t="str">
        <x:v>Vishay</x:v>
      </x:c>
      <x:c r="F825" s="8" t="str">
        <x:v>0603</x:v>
      </x:c>
      <x:c r="G825" s="2" t="str">
        <x:v>SURFACE_MOUNT</x:v>
      </x:c>
      <x:c r="H825" s="2" t="str">
        <x:v>SELECTED_FAMILY_CODE</x:v>
      </x:c>
      <x:c r="I825" s="2" t="str">
        <x:v>Не выпущено</x:v>
      </x:c>
      <x:c r="J82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25" s="31" t="str">
        <x:v>https://www.vishay.com/docs/20035/dcrcwe3.pdf</x:v>
      </x:c>
      <x:c r="L825" s="31" t="str"/>
    </x:row>
    <x:row r="826" ht="38" customHeight="1">
      <x:c r="A826" s="12" t="str">
        <x:v>R1702</x:v>
      </x:c>
      <x:c r="B826" s="12" t="str">
        <x:v>10k 1%</x:v>
      </x:c>
      <x:c r="C826" s="12" t="str">
        <x:v>Да</x:v>
      </x:c>
      <x:c r="D826" s="11" t="str">
        <x:v>CRCW060310K0FKEA</x:v>
      </x:c>
      <x:c r="E826" s="12" t="str">
        <x:v>Vishay</x:v>
      </x:c>
      <x:c r="F826" s="11" t="str">
        <x:v>0603</x:v>
      </x:c>
      <x:c r="G826" s="12" t="str">
        <x:v>SURFACE_MOUNT</x:v>
      </x:c>
      <x:c r="H826" s="12" t="str">
        <x:v>SELECTED_FAMILY_CODE</x:v>
      </x:c>
      <x:c r="I826" s="12" t="str">
        <x:v>Не выпущено</x:v>
      </x:c>
      <x:c r="J82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26" s="33" t="str">
        <x:v>https://www.vishay.com/docs/20035/dcrcwe3.pdf</x:v>
      </x:c>
      <x:c r="L826" s="33" t="str"/>
    </x:row>
    <x:row r="827" ht="38" customHeight="1">
      <x:c r="A827" s="2" t="str">
        <x:v>R1703</x:v>
      </x:c>
      <x:c r="B827" s="2" t="str">
        <x:v>100k 1%</x:v>
      </x:c>
      <x:c r="C827" s="2" t="str">
        <x:v>Да</x:v>
      </x:c>
      <x:c r="D827" s="8" t="str">
        <x:v>CRCW0603100KFKEA</x:v>
      </x:c>
      <x:c r="E827" s="2" t="str">
        <x:v>Vishay</x:v>
      </x:c>
      <x:c r="F827" s="8" t="str">
        <x:v>0603</x:v>
      </x:c>
      <x:c r="G827" s="2" t="str">
        <x:v>SURFACE_MOUNT</x:v>
      </x:c>
      <x:c r="H827" s="2" t="str">
        <x:v>SELECTED_FAMILY_CODE</x:v>
      </x:c>
      <x:c r="I827" s="2" t="str">
        <x:v>Не выпущено</x:v>
      </x:c>
      <x:c r="J827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27" s="31" t="str">
        <x:v>https://www.vishay.com/docs/20035/dcrcwe3.pdf</x:v>
      </x:c>
      <x:c r="L827" s="31" t="str"/>
    </x:row>
    <x:row r="828" ht="38" customHeight="1">
      <x:c r="A828" s="12" t="str">
        <x:v>R1711</x:v>
      </x:c>
      <x:c r="B828" s="12" t="str">
        <x:v>100k 1%</x:v>
      </x:c>
      <x:c r="C828" s="12" t="str">
        <x:v>Да</x:v>
      </x:c>
      <x:c r="D828" s="11" t="str">
        <x:v>CRCW0603100KFKEA</x:v>
      </x:c>
      <x:c r="E828" s="12" t="str">
        <x:v>Vishay</x:v>
      </x:c>
      <x:c r="F828" s="11" t="str">
        <x:v>0603</x:v>
      </x:c>
      <x:c r="G828" s="12" t="str">
        <x:v>SURFACE_MOUNT</x:v>
      </x:c>
      <x:c r="H828" s="12" t="str">
        <x:v>SELECTED_FAMILY_CODE</x:v>
      </x:c>
      <x:c r="I828" s="12" t="str">
        <x:v>Не выпущено</x:v>
      </x:c>
      <x:c r="J828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28" s="33" t="str">
        <x:v>https://www.vishay.com/docs/20035/dcrcwe3.pdf</x:v>
      </x:c>
      <x:c r="L828" s="33" t="str"/>
    </x:row>
    <x:row r="829" ht="38" customHeight="1">
      <x:c r="A829" s="2" t="str">
        <x:v>R1712</x:v>
      </x:c>
      <x:c r="B829" s="2" t="str">
        <x:v>100k 1%</x:v>
      </x:c>
      <x:c r="C829" s="2" t="str">
        <x:v>Да</x:v>
      </x:c>
      <x:c r="D829" s="8" t="str">
        <x:v>CRCW0603100KFKEA</x:v>
      </x:c>
      <x:c r="E829" s="2" t="str">
        <x:v>Vishay</x:v>
      </x:c>
      <x:c r="F829" s="8" t="str">
        <x:v>0603</x:v>
      </x:c>
      <x:c r="G829" s="2" t="str">
        <x:v>SURFACE_MOUNT</x:v>
      </x:c>
      <x:c r="H829" s="2" t="str">
        <x:v>SELECTED_FAMILY_CODE</x:v>
      </x:c>
      <x:c r="I829" s="2" t="str">
        <x:v>Не выпущено</x:v>
      </x:c>
      <x:c r="J829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29" s="31" t="str">
        <x:v>https://www.vishay.com/docs/20035/dcrcwe3.pdf</x:v>
      </x:c>
      <x:c r="L829" s="31" t="str"/>
    </x:row>
    <x:row r="830" ht="38" customHeight="1">
      <x:c r="A830" s="12" t="str">
        <x:v>R1713</x:v>
      </x:c>
      <x:c r="B830" s="12" t="str">
        <x:v>0R</x:v>
      </x:c>
      <x:c r="C830" s="12" t="str">
        <x:v>Да</x:v>
      </x:c>
      <x:c r="D830" s="11" t="str">
        <x:v>CRCW06030000Z0EA</x:v>
      </x:c>
      <x:c r="E830" s="12" t="str">
        <x:v>Vishay</x:v>
      </x:c>
      <x:c r="F830" s="11" t="str">
        <x:v>0603</x:v>
      </x:c>
      <x:c r="G830" s="12" t="str">
        <x:v>SURFACE_MOUNT</x:v>
      </x:c>
      <x:c r="H830" s="12" t="str">
        <x:v>SELECTED_FAMILY_CODE</x:v>
      </x:c>
      <x:c r="I830" s="12" t="str">
        <x:v>Не выпущено</x:v>
      </x:c>
      <x:c r="J830" s="33" t="str">
        <x:v>resistance_ohm: 0.0; tolerance_pct: None; tcr_ppm_c: None; power_w: 0.1; working_voltage_v: 75; power_reference_temperature_c: 70; temperature_min_c: -55; temperature_max_c: 155; technology: jumper; aec_q200: True; current_a: 2</x:v>
      </x:c>
      <x:c r="K830" s="33" t="str">
        <x:v>https://www.vishay.com/docs/20035/dcrcwe3.pdf</x:v>
      </x:c>
      <x:c r="L830" s="33" t="str"/>
    </x:row>
    <x:row r="831" ht="38" customHeight="1">
      <x:c r="A831" s="2" t="str">
        <x:v>R1721</x:v>
      </x:c>
      <x:c r="B831" s="2" t="str">
        <x:v>100k 1%</x:v>
      </x:c>
      <x:c r="C831" s="2" t="str">
        <x:v>Да</x:v>
      </x:c>
      <x:c r="D831" s="8" t="str">
        <x:v>CRCW0603100KFKEA</x:v>
      </x:c>
      <x:c r="E831" s="2" t="str">
        <x:v>Vishay</x:v>
      </x:c>
      <x:c r="F831" s="8" t="str">
        <x:v>0603</x:v>
      </x:c>
      <x:c r="G831" s="2" t="str">
        <x:v>SURFACE_MOUNT</x:v>
      </x:c>
      <x:c r="H831" s="2" t="str">
        <x:v>SELECTED_FAMILY_CODE</x:v>
      </x:c>
      <x:c r="I831" s="2" t="str">
        <x:v>Не выпущено</x:v>
      </x:c>
      <x:c r="J831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31" s="31" t="str">
        <x:v>https://www.vishay.com/docs/20035/dcrcwe3.pdf</x:v>
      </x:c>
      <x:c r="L831" s="31" t="str"/>
    </x:row>
    <x:row r="832" ht="38" customHeight="1">
      <x:c r="A832" s="12" t="str">
        <x:v>R1722</x:v>
      </x:c>
      <x:c r="B832" s="12" t="str">
        <x:v>100k 1%</x:v>
      </x:c>
      <x:c r="C832" s="12" t="str">
        <x:v>Да</x:v>
      </x:c>
      <x:c r="D832" s="11" t="str">
        <x:v>CRCW0603100KFKEA</x:v>
      </x:c>
      <x:c r="E832" s="12" t="str">
        <x:v>Vishay</x:v>
      </x:c>
      <x:c r="F832" s="11" t="str">
        <x:v>0603</x:v>
      </x:c>
      <x:c r="G832" s="12" t="str">
        <x:v>SURFACE_MOUNT</x:v>
      </x:c>
      <x:c r="H832" s="12" t="str">
        <x:v>SELECTED_FAMILY_CODE</x:v>
      </x:c>
      <x:c r="I832" s="12" t="str">
        <x:v>Не выпущено</x:v>
      </x:c>
      <x:c r="J832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32" s="33" t="str">
        <x:v>https://www.vishay.com/docs/20035/dcrcwe3.pdf</x:v>
      </x:c>
      <x:c r="L832" s="33" t="str"/>
    </x:row>
    <x:row r="833" ht="38" customHeight="1">
      <x:c r="A833" s="2" t="str">
        <x:v>R1723</x:v>
      </x:c>
      <x:c r="B833" s="2" t="str">
        <x:v>0R</x:v>
      </x:c>
      <x:c r="C833" s="2" t="str">
        <x:v>Да</x:v>
      </x:c>
      <x:c r="D833" s="8" t="str">
        <x:v>CRCW06030000Z0EA</x:v>
      </x:c>
      <x:c r="E833" s="2" t="str">
        <x:v>Vishay</x:v>
      </x:c>
      <x:c r="F833" s="8" t="str">
        <x:v>0603</x:v>
      </x:c>
      <x:c r="G833" s="2" t="str">
        <x:v>SURFACE_MOUNT</x:v>
      </x:c>
      <x:c r="H833" s="2" t="str">
        <x:v>SELECTED_FAMILY_CODE</x:v>
      </x:c>
      <x:c r="I833" s="2" t="str">
        <x:v>Не выпущено</x:v>
      </x:c>
      <x:c r="J833" s="31" t="str">
        <x:v>resistance_ohm: 0.0; tolerance_pct: None; tcr_ppm_c: None; power_w: 0.1; working_voltage_v: 75; power_reference_temperature_c: 70; temperature_min_c: -55; temperature_max_c: 155; technology: jumper; aec_q200: True; current_a: 2</x:v>
      </x:c>
      <x:c r="K833" s="31" t="str">
        <x:v>https://www.vishay.com/docs/20035/dcrcwe3.pdf</x:v>
      </x:c>
      <x:c r="L833" s="31" t="str"/>
    </x:row>
    <x:row r="834" ht="38" customHeight="1">
      <x:c r="A834" s="12" t="str">
        <x:v>R5001</x:v>
      </x:c>
      <x:c r="B834" s="12" t="str">
        <x:v>140k 0.1%</x:v>
      </x:c>
      <x:c r="C834" s="12" t="str">
        <x:v>Да</x:v>
      </x:c>
      <x:c r="D834" s="11" t="str">
        <x:v>RG2012P-1403-B-T5</x:v>
      </x:c>
      <x:c r="E834" s="12" t="str">
        <x:v>Susumu</x:v>
      </x:c>
      <x:c r="F834" s="11" t="str">
        <x:v>0805</x:v>
      </x:c>
      <x:c r="G834" s="12" t="str">
        <x:v>SURFACE_MOUNT</x:v>
      </x:c>
      <x:c r="H834" s="12" t="str">
        <x:v>SELECTED_CATALOG_ITEM</x:v>
      </x:c>
      <x:c r="I834" s="12" t="str">
        <x:v>Не выпущено</x:v>
      </x:c>
      <x:c r="J834" s="33" t="str">
        <x:v>resistance_ohm: 140000; tolerance_pct: 0.1; tcr_ppm_c: 25; power_w: 0.125; working_voltage_v: 150; temperature_min_c: -55; temperature_max_c: 155; technology: thin film; aec_q200: True; derating: Use manufacturer power versus ambient/terminal temperature curve; PCB thermal and fault pulse envelope not qualified.</x:v>
      </x:c>
      <x:c r="K834" s="33" t="str">
        <x:v>https://www.digikey.com/en/products/detail/susumu/RG2012P-1403-B-T5/1241065</x:v>
      </x:c>
      <x:c r="L834" s="33" t="str"/>
    </x:row>
    <x:row r="835" ht="38" customHeight="1">
      <x:c r="A835" s="2" t="str">
        <x:v>R5002</x:v>
      </x:c>
      <x:c r="B835" s="2" t="str">
        <x:v>10k 0.1%</x:v>
      </x:c>
      <x:c r="C835" s="2" t="str">
        <x:v>Да</x:v>
      </x:c>
      <x:c r="D835" s="8" t="str">
        <x:v>RNCF0603BTE10K0</x:v>
      </x:c>
      <x:c r="E835" s="2" t="str">
        <x:v>Stackpole Electronics</x:v>
      </x:c>
      <x:c r="F835" s="8" t="str">
        <x:v>0603</x:v>
      </x:c>
      <x:c r="G835" s="2" t="str">
        <x:v>SURFACE_MOUNT</x:v>
      </x:c>
      <x:c r="H835" s="2" t="str">
        <x:v>SELECTED_CATALOG_ITEM</x:v>
      </x:c>
      <x:c r="I835" s="2" t="str">
        <x:v>Не выпущено</x:v>
      </x:c>
      <x:c r="J835" s="31" t="str">
        <x:v>resistance_ohm: 10000;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835" s="31" t="str">
        <x:v>https://www.digikey.com/en/products/detail/stackpole-electronics-inc/RNCF0603BTE10K0/4250700; https://www.seielect.com/Catalog/SEI-RNCF.pdf</x:v>
      </x:c>
      <x:c r="L835" s="31" t="str"/>
    </x:row>
    <x:row r="836" ht="38" customHeight="1">
      <x:c r="A836" s="12" t="str">
        <x:v>R5003</x:v>
      </x:c>
      <x:c r="B836" s="12" t="str">
        <x:v>1k 1%</x:v>
      </x:c>
      <x:c r="C836" s="12" t="str">
        <x:v>Да</x:v>
      </x:c>
      <x:c r="D836" s="11" t="str">
        <x:v>CRCW06031K00FKEA</x:v>
      </x:c>
      <x:c r="E836" s="12" t="str">
        <x:v>Vishay</x:v>
      </x:c>
      <x:c r="F836" s="11" t="str">
        <x:v>0603</x:v>
      </x:c>
      <x:c r="G836" s="12" t="str">
        <x:v>SURFACE_MOUNT</x:v>
      </x:c>
      <x:c r="H836" s="12" t="str">
        <x:v>SELECTED_FAMILY_CODE</x:v>
      </x:c>
      <x:c r="I836" s="12" t="str">
        <x:v>Не выпущено</x:v>
      </x:c>
      <x:c r="J836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36" s="33" t="str">
        <x:v>https://www.vishay.com/docs/20035/dcrcwe3.pdf</x:v>
      </x:c>
      <x:c r="L836" s="33" t="str"/>
    </x:row>
    <x:row r="837" ht="38" customHeight="1">
      <x:c r="A837" s="2" t="str">
        <x:v>R5004</x:v>
      </x:c>
      <x:c r="B837" s="2" t="str">
        <x:v>10k 1%</x:v>
      </x:c>
      <x:c r="C837" s="2" t="str">
        <x:v>Да</x:v>
      </x:c>
      <x:c r="D837" s="8" t="str">
        <x:v>CRCW060310K0FKEA</x:v>
      </x:c>
      <x:c r="E837" s="2" t="str">
        <x:v>Vishay</x:v>
      </x:c>
      <x:c r="F837" s="8" t="str">
        <x:v>0603</x:v>
      </x:c>
      <x:c r="G837" s="2" t="str">
        <x:v>SURFACE_MOUNT</x:v>
      </x:c>
      <x:c r="H837" s="2" t="str">
        <x:v>SELECTED_FAMILY_CODE</x:v>
      </x:c>
      <x:c r="I837" s="2" t="str">
        <x:v>Не выпущено</x:v>
      </x:c>
      <x:c r="J83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37" s="31" t="str">
        <x:v>https://www.vishay.com/docs/20035/dcrcwe3.pdf</x:v>
      </x:c>
      <x:c r="L837" s="31" t="str"/>
    </x:row>
    <x:row r="838" ht="38" customHeight="1">
      <x:c r="A838" s="12" t="str">
        <x:v>R5005</x:v>
      </x:c>
      <x:c r="B838" s="12" t="str">
        <x:v>1M 1%</x:v>
      </x:c>
      <x:c r="C838" s="12" t="str">
        <x:v>Да</x:v>
      </x:c>
      <x:c r="D838" s="11" t="str">
        <x:v>CRCW06031M00FKEA</x:v>
      </x:c>
      <x:c r="E838" s="12" t="str">
        <x:v>Vishay</x:v>
      </x:c>
      <x:c r="F838" s="11" t="str">
        <x:v>0603</x:v>
      </x:c>
      <x:c r="G838" s="12" t="str">
        <x:v>SURFACE_MOUNT</x:v>
      </x:c>
      <x:c r="H838" s="12" t="str">
        <x:v>SELECTED_FAMILY_CODE</x:v>
      </x:c>
      <x:c r="I838" s="12" t="str">
        <x:v>Не выпущено</x:v>
      </x:c>
      <x:c r="J838" s="33" t="str">
        <x:v>resistance_ohm: 1000000.0;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38" s="33" t="str">
        <x:v>https://www.vishay.com/docs/20035/dcrcwe3.pdf</x:v>
      </x:c>
      <x:c r="L838" s="33" t="str"/>
    </x:row>
    <x:row r="839" ht="38" customHeight="1">
      <x:c r="A839" s="2" t="str">
        <x:v>R5006</x:v>
      </x:c>
      <x:c r="B839" s="2" t="str">
        <x:v>1M 1%</x:v>
      </x:c>
      <x:c r="C839" s="2" t="str">
        <x:v>Да</x:v>
      </x:c>
      <x:c r="D839" s="8" t="str">
        <x:v>CRCW06031M00FKEA</x:v>
      </x:c>
      <x:c r="E839" s="2" t="str">
        <x:v>Vishay</x:v>
      </x:c>
      <x:c r="F839" s="8" t="str">
        <x:v>0603</x:v>
      </x:c>
      <x:c r="G839" s="2" t="str">
        <x:v>SURFACE_MOUNT</x:v>
      </x:c>
      <x:c r="H839" s="2" t="str">
        <x:v>SELECTED_FAMILY_CODE</x:v>
      </x:c>
      <x:c r="I839" s="2" t="str">
        <x:v>Не выпущено</x:v>
      </x:c>
      <x:c r="J839" s="31" t="str">
        <x:v>resistance_ohm: 1000000.0;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39" s="31" t="str">
        <x:v>https://www.vishay.com/docs/20035/dcrcwe3.pdf</x:v>
      </x:c>
      <x:c r="L839" s="31" t="str"/>
    </x:row>
    <x:row r="840" ht="38" customHeight="1">
      <x:c r="A840" s="12" t="str">
        <x:v>R5007</x:v>
      </x:c>
      <x:c r="B840" s="12" t="str">
        <x:v>1k 1%</x:v>
      </x:c>
      <x:c r="C840" s="12" t="str">
        <x:v>Да</x:v>
      </x:c>
      <x:c r="D840" s="11" t="str">
        <x:v>CRCW06031K00FKEA</x:v>
      </x:c>
      <x:c r="E840" s="12" t="str">
        <x:v>Vishay</x:v>
      </x:c>
      <x:c r="F840" s="11" t="str">
        <x:v>0603</x:v>
      </x:c>
      <x:c r="G840" s="12" t="str">
        <x:v>SURFACE_MOUNT</x:v>
      </x:c>
      <x:c r="H840" s="12" t="str">
        <x:v>SELECTED_FAMILY_CODE</x:v>
      </x:c>
      <x:c r="I840" s="12" t="str">
        <x:v>Не выпущено</x:v>
      </x:c>
      <x:c r="J840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40" s="33" t="str">
        <x:v>https://www.vishay.com/docs/20035/dcrcwe3.pdf</x:v>
      </x:c>
      <x:c r="L840" s="33" t="str"/>
    </x:row>
    <x:row r="841" ht="38" customHeight="1">
      <x:c r="A841" s="2" t="str">
        <x:v>R5008</x:v>
      </x:c>
      <x:c r="B841" s="2" t="str">
        <x:v>10k 1%</x:v>
      </x:c>
      <x:c r="C841" s="2" t="str">
        <x:v>Да</x:v>
      </x:c>
      <x:c r="D841" s="8" t="str">
        <x:v>CRCW060310K0FKEA</x:v>
      </x:c>
      <x:c r="E841" s="2" t="str">
        <x:v>Vishay</x:v>
      </x:c>
      <x:c r="F841" s="8" t="str">
        <x:v>0603</x:v>
      </x:c>
      <x:c r="G841" s="2" t="str">
        <x:v>SURFACE_MOUNT</x:v>
      </x:c>
      <x:c r="H841" s="2" t="str">
        <x:v>SELECTED_FAMILY_CODE</x:v>
      </x:c>
      <x:c r="I841" s="2" t="str">
        <x:v>Не выпущено</x:v>
      </x:c>
      <x:c r="J841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41" s="31" t="str">
        <x:v>https://www.vishay.com/docs/20035/dcrcwe3.pdf</x:v>
      </x:c>
      <x:c r="L841" s="31" t="str"/>
    </x:row>
    <x:row r="842" ht="38" customHeight="1">
      <x:c r="A842" s="12" t="str">
        <x:v>R5051</x:v>
      </x:c>
      <x:c r="B842" s="12" t="str">
        <x:v>140k 0.1%</x:v>
      </x:c>
      <x:c r="C842" s="12" t="str">
        <x:v>Да</x:v>
      </x:c>
      <x:c r="D842" s="11" t="str">
        <x:v>RG2012P-1403-B-T5</x:v>
      </x:c>
      <x:c r="E842" s="12" t="str">
        <x:v>Susumu</x:v>
      </x:c>
      <x:c r="F842" s="11" t="str">
        <x:v>0805</x:v>
      </x:c>
      <x:c r="G842" s="12" t="str">
        <x:v>SURFACE_MOUNT</x:v>
      </x:c>
      <x:c r="H842" s="12" t="str">
        <x:v>SELECTED_CATALOG_ITEM</x:v>
      </x:c>
      <x:c r="I842" s="12" t="str">
        <x:v>Не выпущено</x:v>
      </x:c>
      <x:c r="J842" s="33" t="str">
        <x:v>resistance_ohm: 140000; tolerance_pct: 0.1; tcr_ppm_c: 25; power_w: 0.125; working_voltage_v: 150; temperature_min_c: -55; temperature_max_c: 155; technology: thin film; aec_q200: True; derating: Use manufacturer power versus ambient/terminal temperature curve; PCB thermal and fault pulse envelope not qualified.</x:v>
      </x:c>
      <x:c r="K842" s="33" t="str">
        <x:v>https://www.digikey.com/en/products/detail/susumu/RG2012P-1403-B-T5/1241065</x:v>
      </x:c>
      <x:c r="L842" s="33" t="str"/>
    </x:row>
    <x:row r="843" ht="38" customHeight="1">
      <x:c r="A843" s="2" t="str">
        <x:v>R5052</x:v>
      </x:c>
      <x:c r="B843" s="2" t="str">
        <x:v>10k 0.1%</x:v>
      </x:c>
      <x:c r="C843" s="2" t="str">
        <x:v>Да</x:v>
      </x:c>
      <x:c r="D843" s="8" t="str">
        <x:v>RNCF0603BTE10K0</x:v>
      </x:c>
      <x:c r="E843" s="2" t="str">
        <x:v>Stackpole Electronics</x:v>
      </x:c>
      <x:c r="F843" s="8" t="str">
        <x:v>0603</x:v>
      </x:c>
      <x:c r="G843" s="2" t="str">
        <x:v>SURFACE_MOUNT</x:v>
      </x:c>
      <x:c r="H843" s="2" t="str">
        <x:v>SELECTED_CATALOG_ITEM</x:v>
      </x:c>
      <x:c r="I843" s="2" t="str">
        <x:v>Не выпущено</x:v>
      </x:c>
      <x:c r="J843" s="31" t="str">
        <x:v>resistance_ohm: 10000;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843" s="31" t="str">
        <x:v>https://www.digikey.com/en/products/detail/stackpole-electronics-inc/RNCF0603BTE10K0/4250700; https://www.seielect.com/Catalog/SEI-RNCF.pdf</x:v>
      </x:c>
      <x:c r="L843" s="31" t="str"/>
    </x:row>
    <x:row r="844" ht="38" customHeight="1">
      <x:c r="A844" s="12" t="str">
        <x:v>R5053</x:v>
      </x:c>
      <x:c r="B844" s="12" t="str">
        <x:v>1k 1%</x:v>
      </x:c>
      <x:c r="C844" s="12" t="str">
        <x:v>Да</x:v>
      </x:c>
      <x:c r="D844" s="11" t="str">
        <x:v>CRCW06031K00FKEA</x:v>
      </x:c>
      <x:c r="E844" s="12" t="str">
        <x:v>Vishay</x:v>
      </x:c>
      <x:c r="F844" s="11" t="str">
        <x:v>0603</x:v>
      </x:c>
      <x:c r="G844" s="12" t="str">
        <x:v>SURFACE_MOUNT</x:v>
      </x:c>
      <x:c r="H844" s="12" t="str">
        <x:v>SELECTED_FAMILY_CODE</x:v>
      </x:c>
      <x:c r="I844" s="12" t="str">
        <x:v>Не выпущено</x:v>
      </x:c>
      <x:c r="J844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44" s="33" t="str">
        <x:v>https://www.vishay.com/docs/20035/dcrcwe3.pdf</x:v>
      </x:c>
      <x:c r="L844" s="33" t="str"/>
    </x:row>
    <x:row r="845" ht="38" customHeight="1">
      <x:c r="A845" s="2" t="str">
        <x:v>R5054</x:v>
      </x:c>
      <x:c r="B845" s="2" t="str">
        <x:v>10k 1%</x:v>
      </x:c>
      <x:c r="C845" s="2" t="str">
        <x:v>Да</x:v>
      </x:c>
      <x:c r="D845" s="8" t="str">
        <x:v>CRCW060310K0FKEA</x:v>
      </x:c>
      <x:c r="E845" s="2" t="str">
        <x:v>Vishay</x:v>
      </x:c>
      <x:c r="F845" s="8" t="str">
        <x:v>0603</x:v>
      </x:c>
      <x:c r="G845" s="2" t="str">
        <x:v>SURFACE_MOUNT</x:v>
      </x:c>
      <x:c r="H845" s="2" t="str">
        <x:v>SELECTED_FAMILY_CODE</x:v>
      </x:c>
      <x:c r="I845" s="2" t="str">
        <x:v>Не выпущено</x:v>
      </x:c>
      <x:c r="J84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45" s="31" t="str">
        <x:v>https://www.vishay.com/docs/20035/dcrcwe3.pdf</x:v>
      </x:c>
      <x:c r="L845" s="31" t="str"/>
    </x:row>
    <x:row r="846" ht="38" customHeight="1">
      <x:c r="A846" s="12" t="str">
        <x:v>R5055</x:v>
      </x:c>
      <x:c r="B846" s="12" t="str">
        <x:v>1M 1%</x:v>
      </x:c>
      <x:c r="C846" s="12" t="str">
        <x:v>Да</x:v>
      </x:c>
      <x:c r="D846" s="11" t="str">
        <x:v>CRCW06031M00FKEA</x:v>
      </x:c>
      <x:c r="E846" s="12" t="str">
        <x:v>Vishay</x:v>
      </x:c>
      <x:c r="F846" s="11" t="str">
        <x:v>0603</x:v>
      </x:c>
      <x:c r="G846" s="12" t="str">
        <x:v>SURFACE_MOUNT</x:v>
      </x:c>
      <x:c r="H846" s="12" t="str">
        <x:v>SELECTED_FAMILY_CODE</x:v>
      </x:c>
      <x:c r="I846" s="12" t="str">
        <x:v>Не выпущено</x:v>
      </x:c>
      <x:c r="J846" s="33" t="str">
        <x:v>resistance_ohm: 1000000.0;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46" s="33" t="str">
        <x:v>https://www.vishay.com/docs/20035/dcrcwe3.pdf</x:v>
      </x:c>
      <x:c r="L846" s="33" t="str"/>
    </x:row>
    <x:row r="847" ht="38" customHeight="1">
      <x:c r="A847" s="2" t="str">
        <x:v>R5056</x:v>
      </x:c>
      <x:c r="B847" s="2" t="str">
        <x:v>1M 1%</x:v>
      </x:c>
      <x:c r="C847" s="2" t="str">
        <x:v>Да</x:v>
      </x:c>
      <x:c r="D847" s="8" t="str">
        <x:v>CRCW06031M00FKEA</x:v>
      </x:c>
      <x:c r="E847" s="2" t="str">
        <x:v>Vishay</x:v>
      </x:c>
      <x:c r="F847" s="8" t="str">
        <x:v>0603</x:v>
      </x:c>
      <x:c r="G847" s="2" t="str">
        <x:v>SURFACE_MOUNT</x:v>
      </x:c>
      <x:c r="H847" s="2" t="str">
        <x:v>SELECTED_FAMILY_CODE</x:v>
      </x:c>
      <x:c r="I847" s="2" t="str">
        <x:v>Не выпущено</x:v>
      </x:c>
      <x:c r="J847" s="31" t="str">
        <x:v>resistance_ohm: 1000000.0;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47" s="31" t="str">
        <x:v>https://www.vishay.com/docs/20035/dcrcwe3.pdf</x:v>
      </x:c>
      <x:c r="L847" s="31" t="str"/>
    </x:row>
    <x:row r="848" ht="38" customHeight="1">
      <x:c r="A848" s="12" t="str">
        <x:v>R5057</x:v>
      </x:c>
      <x:c r="B848" s="12" t="str">
        <x:v>1k 1%</x:v>
      </x:c>
      <x:c r="C848" s="12" t="str">
        <x:v>Да</x:v>
      </x:c>
      <x:c r="D848" s="11" t="str">
        <x:v>CRCW06031K00FKEA</x:v>
      </x:c>
      <x:c r="E848" s="12" t="str">
        <x:v>Vishay</x:v>
      </x:c>
      <x:c r="F848" s="11" t="str">
        <x:v>0603</x:v>
      </x:c>
      <x:c r="G848" s="12" t="str">
        <x:v>SURFACE_MOUNT</x:v>
      </x:c>
      <x:c r="H848" s="12" t="str">
        <x:v>SELECTED_FAMILY_CODE</x:v>
      </x:c>
      <x:c r="I848" s="12" t="str">
        <x:v>Не выпущено</x:v>
      </x:c>
      <x:c r="J848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48" s="33" t="str">
        <x:v>https://www.vishay.com/docs/20035/dcrcwe3.pdf</x:v>
      </x:c>
      <x:c r="L848" s="33" t="str"/>
    </x:row>
    <x:row r="849" ht="38" customHeight="1">
      <x:c r="A849" s="2" t="str">
        <x:v>R5058</x:v>
      </x:c>
      <x:c r="B849" s="2" t="str">
        <x:v>10k 1%</x:v>
      </x:c>
      <x:c r="C849" s="2" t="str">
        <x:v>Да</x:v>
      </x:c>
      <x:c r="D849" s="8" t="str">
        <x:v>CRCW060310K0FKEA</x:v>
      </x:c>
      <x:c r="E849" s="2" t="str">
        <x:v>Vishay</x:v>
      </x:c>
      <x:c r="F849" s="8" t="str">
        <x:v>0603</x:v>
      </x:c>
      <x:c r="G849" s="2" t="str">
        <x:v>SURFACE_MOUNT</x:v>
      </x:c>
      <x:c r="H849" s="2" t="str">
        <x:v>SELECTED_FAMILY_CODE</x:v>
      </x:c>
      <x:c r="I849" s="2" t="str">
        <x:v>Не выпущено</x:v>
      </x:c>
      <x:c r="J84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49" s="31" t="str">
        <x:v>https://www.vishay.com/docs/20035/dcrcwe3.pdf</x:v>
      </x:c>
      <x:c r="L849" s="31" t="str"/>
    </x:row>
    <x:row r="850" ht="38" customHeight="1">
      <x:c r="A850" s="12" t="str">
        <x:v>R5101</x:v>
      </x:c>
      <x:c r="B850" s="12" t="str">
        <x:v>10k 1%</x:v>
      </x:c>
      <x:c r="C850" s="12" t="str">
        <x:v>Да</x:v>
      </x:c>
      <x:c r="D850" s="11" t="str">
        <x:v>CRCW060310K0FKEA</x:v>
      </x:c>
      <x:c r="E850" s="12" t="str">
        <x:v>Vishay</x:v>
      </x:c>
      <x:c r="F850" s="11" t="str">
        <x:v>0603</x:v>
      </x:c>
      <x:c r="G850" s="12" t="str">
        <x:v>SURFACE_MOUNT</x:v>
      </x:c>
      <x:c r="H850" s="12" t="str">
        <x:v>SELECTED_FAMILY_CODE</x:v>
      </x:c>
      <x:c r="I850" s="12" t="str">
        <x:v>Не выпущено</x:v>
      </x:c>
      <x:c r="J85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50" s="33" t="str">
        <x:v>https://www.vishay.com/docs/20035/dcrcwe3.pdf</x:v>
      </x:c>
      <x:c r="L850" s="33" t="str"/>
    </x:row>
    <x:row r="851" ht="38" customHeight="1">
      <x:c r="A851" s="2" t="str">
        <x:v>R5102</x:v>
      </x:c>
      <x:c r="B851" s="2" t="str">
        <x:v>10k 1%</x:v>
      </x:c>
      <x:c r="C851" s="2" t="str">
        <x:v>Да</x:v>
      </x:c>
      <x:c r="D851" s="8" t="str">
        <x:v>CRCW060310K0FKEA</x:v>
      </x:c>
      <x:c r="E851" s="2" t="str">
        <x:v>Vishay</x:v>
      </x:c>
      <x:c r="F851" s="8" t="str">
        <x:v>0603</x:v>
      </x:c>
      <x:c r="G851" s="2" t="str">
        <x:v>SURFACE_MOUNT</x:v>
      </x:c>
      <x:c r="H851" s="2" t="str">
        <x:v>SELECTED_FAMILY_CODE</x:v>
      </x:c>
      <x:c r="I851" s="2" t="str">
        <x:v>Не выпущено</x:v>
      </x:c>
      <x:c r="J851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51" s="31" t="str">
        <x:v>https://www.vishay.com/docs/20035/dcrcwe3.pdf</x:v>
      </x:c>
      <x:c r="L851" s="31" t="str"/>
    </x:row>
    <x:row r="852" ht="38" customHeight="1">
      <x:c r="A852" s="12" t="str">
        <x:v>R5103</x:v>
      </x:c>
      <x:c r="B852" s="12" t="str">
        <x:v>10k 1%</x:v>
      </x:c>
      <x:c r="C852" s="12" t="str">
        <x:v>Да</x:v>
      </x:c>
      <x:c r="D852" s="11" t="str">
        <x:v>CRCW060310K0FKEA</x:v>
      </x:c>
      <x:c r="E852" s="12" t="str">
        <x:v>Vishay</x:v>
      </x:c>
      <x:c r="F852" s="11" t="str">
        <x:v>0603</x:v>
      </x:c>
      <x:c r="G852" s="12" t="str">
        <x:v>SURFACE_MOUNT</x:v>
      </x:c>
      <x:c r="H852" s="12" t="str">
        <x:v>SELECTED_FAMILY_CODE</x:v>
      </x:c>
      <x:c r="I852" s="12" t="str">
        <x:v>Не выпущено</x:v>
      </x:c>
      <x:c r="J85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52" s="33" t="str">
        <x:v>https://www.vishay.com/docs/20035/dcrcwe3.pdf</x:v>
      </x:c>
      <x:c r="L852" s="33" t="str"/>
    </x:row>
    <x:row r="853" ht="38" customHeight="1">
      <x:c r="A853" s="2" t="str">
        <x:v>R5104</x:v>
      </x:c>
      <x:c r="B853" s="2" t="str">
        <x:v>10k 1%</x:v>
      </x:c>
      <x:c r="C853" s="2" t="str">
        <x:v>Да</x:v>
      </x:c>
      <x:c r="D853" s="8" t="str">
        <x:v>CRCW060310K0FKEA</x:v>
      </x:c>
      <x:c r="E853" s="2" t="str">
        <x:v>Vishay</x:v>
      </x:c>
      <x:c r="F853" s="8" t="str">
        <x:v>0603</x:v>
      </x:c>
      <x:c r="G853" s="2" t="str">
        <x:v>SURFACE_MOUNT</x:v>
      </x:c>
      <x:c r="H853" s="2" t="str">
        <x:v>SELECTED_FAMILY_CODE</x:v>
      </x:c>
      <x:c r="I853" s="2" t="str">
        <x:v>Не выпущено</x:v>
      </x:c>
      <x:c r="J85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53" s="31" t="str">
        <x:v>https://www.vishay.com/docs/20035/dcrcwe3.pdf</x:v>
      </x:c>
      <x:c r="L853" s="31" t="str"/>
    </x:row>
    <x:row r="854" ht="38" customHeight="1">
      <x:c r="A854" s="12" t="str">
        <x:v>R5105</x:v>
      </x:c>
      <x:c r="B854" s="12" t="str">
        <x:v>10k 1%</x:v>
      </x:c>
      <x:c r="C854" s="12" t="str">
        <x:v>Да</x:v>
      </x:c>
      <x:c r="D854" s="11" t="str">
        <x:v>CRCW060310K0FKEA</x:v>
      </x:c>
      <x:c r="E854" s="12" t="str">
        <x:v>Vishay</x:v>
      </x:c>
      <x:c r="F854" s="11" t="str">
        <x:v>0603</x:v>
      </x:c>
      <x:c r="G854" s="12" t="str">
        <x:v>SURFACE_MOUNT</x:v>
      </x:c>
      <x:c r="H854" s="12" t="str">
        <x:v>SELECTED_FAMILY_CODE</x:v>
      </x:c>
      <x:c r="I854" s="12" t="str">
        <x:v>Не выпущено</x:v>
      </x:c>
      <x:c r="J854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54" s="33" t="str">
        <x:v>https://www.vishay.com/docs/20035/dcrcwe3.pdf</x:v>
      </x:c>
      <x:c r="L854" s="33" t="str"/>
    </x:row>
    <x:row r="855" ht="38" customHeight="1">
      <x:c r="A855" s="2" t="str">
        <x:v>R5106</x:v>
      </x:c>
      <x:c r="B855" s="2" t="str">
        <x:v>10k 1%</x:v>
      </x:c>
      <x:c r="C855" s="2" t="str">
        <x:v>Да</x:v>
      </x:c>
      <x:c r="D855" s="8" t="str">
        <x:v>CRCW060310K0FKEA</x:v>
      </x:c>
      <x:c r="E855" s="2" t="str">
        <x:v>Vishay</x:v>
      </x:c>
      <x:c r="F855" s="8" t="str">
        <x:v>0603</x:v>
      </x:c>
      <x:c r="G855" s="2" t="str">
        <x:v>SURFACE_MOUNT</x:v>
      </x:c>
      <x:c r="H855" s="2" t="str">
        <x:v>SELECTED_FAMILY_CODE</x:v>
      </x:c>
      <x:c r="I855" s="2" t="str">
        <x:v>Не выпущено</x:v>
      </x:c>
      <x:c r="J85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55" s="31" t="str">
        <x:v>https://www.vishay.com/docs/20035/dcrcwe3.pdf</x:v>
      </x:c>
      <x:c r="L855" s="31" t="str"/>
    </x:row>
    <x:row r="856" ht="38" customHeight="1">
      <x:c r="A856" s="12" t="str">
        <x:v>R5200</x:v>
      </x:c>
      <x:c r="B856" s="12" t="str">
        <x:v>100k 0.1%</x:v>
      </x:c>
      <x:c r="C856" s="12" t="str">
        <x:v>Да</x:v>
      </x:c>
      <x:c r="D856" s="11" t="str">
        <x:v>RNCF0603BTE100K</x:v>
      </x:c>
      <x:c r="E856" s="12" t="str">
        <x:v>Stackpole Electronics</x:v>
      </x:c>
      <x:c r="F856" s="11" t="str">
        <x:v>0603</x:v>
      </x:c>
      <x:c r="G856" s="12" t="str">
        <x:v>SURFACE_MOUNT</x:v>
      </x:c>
      <x:c r="H856" s="12" t="str">
        <x:v>SELECTED_CATALOG_ITEM</x:v>
      </x:c>
      <x:c r="I856" s="12" t="str">
        <x:v>Не выпущено</x:v>
      </x:c>
      <x:c r="J856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856" s="33" t="str">
        <x:v>https://www.digikey.com/en/products/detail/stackpole-electronics-inc/RNCF0603BTE100K/16890122; https://www.seielect.com/Catalog/SEI-RNCF.pdf</x:v>
      </x:c>
      <x:c r="L856" s="33" t="str"/>
    </x:row>
    <x:row r="857" ht="38" customHeight="1">
      <x:c r="A857" s="2" t="str">
        <x:v>R5201</x:v>
      </x:c>
      <x:c r="B857" s="2" t="str">
        <x:v>25k 0.1%</x:v>
      </x:c>
      <x:c r="C857" s="2" t="str">
        <x:v>Да</x:v>
      </x:c>
      <x:c r="D857" s="8" t="str">
        <x:v>PNM0603E2502BST5</x:v>
      </x:c>
      <x:c r="E857" s="2" t="str">
        <x:v>Vishay</x:v>
      </x:c>
      <x:c r="F857" s="8" t="str">
        <x:v>0603</x:v>
      </x:c>
      <x:c r="G857" s="2" t="str">
        <x:v>SURFACE_MOUNT</x:v>
      </x:c>
      <x:c r="H857" s="2" t="str">
        <x:v>SELECTED_CATALOG_ITEM</x:v>
      </x:c>
      <x:c r="I857" s="2" t="str">
        <x:v>Не выпущено</x:v>
      </x:c>
      <x:c r="J857" s="31" t="str">
        <x:v>resistance_ohm: 25000; tolerance_pct: 0.1; tcr_ppm_c: 25; power_w: 0.1</x:v>
      </x:c>
      <x:c r="K857" s="31" t="str">
        <x:v>https://www.ti.com.cn/cn/lit/df/tidrav4/tidrav4.pdf</x:v>
      </x:c>
      <x:c r="L857" s="31" t="str"/>
    </x:row>
    <x:row r="858" ht="38" customHeight="1">
      <x:c r="A858" s="12" t="str">
        <x:v>R5202</x:v>
      </x:c>
      <x:c r="B858" s="12" t="str">
        <x:v>470k 0.1%</x:v>
      </x:c>
      <x:c r="C858" s="12" t="str">
        <x:v>Да</x:v>
      </x:c>
      <x:c r="D858" s="11" t="str">
        <x:v>RNCF0805BTE470K</x:v>
      </x:c>
      <x:c r="E858" s="12" t="str">
        <x:v>Stackpole Electronics</x:v>
      </x:c>
      <x:c r="F858" s="11" t="str">
        <x:v>0805</x:v>
      </x:c>
      <x:c r="G858" s="12" t="str">
        <x:v>SURFACE_MOUNT</x:v>
      </x:c>
      <x:c r="H858" s="12" t="str">
        <x:v>SELECTED_CATALOG_ITEM</x:v>
      </x:c>
      <x:c r="I858" s="12" t="str">
        <x:v>Не выпущено</x:v>
      </x:c>
      <x:c r="J858" s="33" t="str">
        <x:v>resistance_ohm: 470000; tolerance_pct: 0.1; tcr_ppm_c: 25; power_w: 0.25; working_voltage_v: 150;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858" s="33" t="str">
        <x:v>https://www.digikey.com/en/products/detail/stackpole-electronics-inc/RNCF0805BTE470K/16890068; https://www.seielect.com/Catalog/SEI-RNCF.pdf</x:v>
      </x:c>
      <x:c r="L858" s="33" t="str"/>
    </x:row>
    <x:row r="859" ht="38" customHeight="1">
      <x:c r="A859" s="2" t="str">
        <x:v>R5203</x:v>
      </x:c>
      <x:c r="B859" s="2" t="str">
        <x:v>100k 0.1%</x:v>
      </x:c>
      <x:c r="C859" s="2" t="str">
        <x:v>Да</x:v>
      </x:c>
      <x:c r="D859" s="8" t="str">
        <x:v>RNCF0603BTE100K</x:v>
      </x:c>
      <x:c r="E859" s="2" t="str">
        <x:v>Stackpole Electronics</x:v>
      </x:c>
      <x:c r="F859" s="8" t="str">
        <x:v>0603</x:v>
      </x:c>
      <x:c r="G859" s="2" t="str">
        <x:v>SURFACE_MOUNT</x:v>
      </x:c>
      <x:c r="H859" s="2" t="str">
        <x:v>SELECTED_CATALOG_ITEM</x:v>
      </x:c>
      <x:c r="I859" s="2" t="str">
        <x:v>Не выпущено</x:v>
      </x:c>
      <x:c r="J859" s="31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859" s="31" t="str">
        <x:v>https://www.digikey.com/en/products/detail/stackpole-electronics-inc/RNCF0603BTE100K/16890122; https://www.seielect.com/Catalog/SEI-RNCF.pdf</x:v>
      </x:c>
      <x:c r="L859" s="31" t="str"/>
    </x:row>
    <x:row r="860" ht="38" customHeight="1">
      <x:c r="A860" s="12" t="str">
        <x:v>R5204</x:v>
      </x:c>
      <x:c r="B860" s="12" t="str">
        <x:v>100k 1%</x:v>
      </x:c>
      <x:c r="C860" s="12" t="str">
        <x:v>Да</x:v>
      </x:c>
      <x:c r="D860" s="11" t="str">
        <x:v>CRCW0603100KFKEA</x:v>
      </x:c>
      <x:c r="E860" s="12" t="str">
        <x:v>Vishay</x:v>
      </x:c>
      <x:c r="F860" s="11" t="str">
        <x:v>0603</x:v>
      </x:c>
      <x:c r="G860" s="12" t="str">
        <x:v>SURFACE_MOUNT</x:v>
      </x:c>
      <x:c r="H860" s="12" t="str">
        <x:v>SELECTED_FAMILY_CODE</x:v>
      </x:c>
      <x:c r="I860" s="12" t="str">
        <x:v>Не выпущено</x:v>
      </x:c>
      <x:c r="J860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60" s="33" t="str">
        <x:v>https://www.vishay.com/docs/20035/dcrcwe3.pdf</x:v>
      </x:c>
      <x:c r="L860" s="33" t="str"/>
    </x:row>
    <x:row r="861" ht="38" customHeight="1">
      <x:c r="A861" s="2" t="str">
        <x:v>R5205</x:v>
      </x:c>
      <x:c r="B861" s="2" t="str">
        <x:v>1M 1%</x:v>
      </x:c>
      <x:c r="C861" s="2" t="str">
        <x:v>Да</x:v>
      </x:c>
      <x:c r="D861" s="8" t="str">
        <x:v>CRCW06031M00FKEA</x:v>
      </x:c>
      <x:c r="E861" s="2" t="str">
        <x:v>Vishay</x:v>
      </x:c>
      <x:c r="F861" s="8" t="str">
        <x:v>0603</x:v>
      </x:c>
      <x:c r="G861" s="2" t="str">
        <x:v>SURFACE_MOUNT</x:v>
      </x:c>
      <x:c r="H861" s="2" t="str">
        <x:v>SELECTED_FAMILY_CODE</x:v>
      </x:c>
      <x:c r="I861" s="2" t="str">
        <x:v>Не выпущено</x:v>
      </x:c>
      <x:c r="J861" s="31" t="str">
        <x:v>resistance_ohm: 1000000.0;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61" s="31" t="str">
        <x:v>https://www.vishay.com/docs/20035/dcrcwe3.pdf</x:v>
      </x:c>
      <x:c r="L861" s="31" t="str"/>
    </x:row>
    <x:row r="862" ht="38" customHeight="1">
      <x:c r="A862" s="12" t="str">
        <x:v>R5300</x:v>
      </x:c>
      <x:c r="B862" s="12" t="str">
        <x:v>100k 0.1%</x:v>
      </x:c>
      <x:c r="C862" s="12" t="str">
        <x:v>Да</x:v>
      </x:c>
      <x:c r="D862" s="11" t="str">
        <x:v>RNCF0603BTE100K</x:v>
      </x:c>
      <x:c r="E862" s="12" t="str">
        <x:v>Stackpole Electronics</x:v>
      </x:c>
      <x:c r="F862" s="11" t="str">
        <x:v>0603</x:v>
      </x:c>
      <x:c r="G862" s="12" t="str">
        <x:v>SURFACE_MOUNT</x:v>
      </x:c>
      <x:c r="H862" s="12" t="str">
        <x:v>SELECTED_CATALOG_ITEM</x:v>
      </x:c>
      <x:c r="I862" s="12" t="str">
        <x:v>Не выпущено</x:v>
      </x:c>
      <x:c r="J862" s="33" t="str">
        <x:v>resistance_ohm: 100000;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862" s="33" t="str">
        <x:v>https://www.digikey.com/en/products/detail/stackpole-electronics-inc/RNCF0603BTE100K/16890122; https://www.seielect.com/Catalog/SEI-RNCF.pdf</x:v>
      </x:c>
      <x:c r="L862" s="33" t="str"/>
    </x:row>
    <x:row r="863" ht="38" customHeight="1">
      <x:c r="A863" s="2" t="str">
        <x:v>R5301</x:v>
      </x:c>
      <x:c r="B863" s="2" t="str">
        <x:v>32k 0.1%</x:v>
      </x:c>
      <x:c r="C863" s="2" t="str">
        <x:v>Да</x:v>
      </x:c>
      <x:c r="D863" s="8" t="str">
        <x:v>RNCF0603BTE32K0</x:v>
      </x:c>
      <x:c r="E863" s="2" t="str">
        <x:v>Stackpole Electronics</x:v>
      </x:c>
      <x:c r="F863" s="8" t="str">
        <x:v>0603</x:v>
      </x:c>
      <x:c r="G863" s="2" t="str">
        <x:v>SURFACE_MOUNT</x:v>
      </x:c>
      <x:c r="H863" s="2" t="str">
        <x:v>SELECTED_CATALOG_ITEM</x:v>
      </x:c>
      <x:c r="I863" s="2" t="str">
        <x:v>Не выпущено</x:v>
      </x:c>
      <x:c r="J863" s="31" t="str">
        <x:v>resistance_ohm: 32000; tolerance_pct: 0.1; tcr_ppm_c: 25; power_w: 0.167; temperature_min_c: -55; temperature_max_c: 155</x:v>
      </x:c>
      <x:c r="K863" s="31" t="str">
        <x:v>https://www.digikey.com/en/products/detail/stackpole-electronics-inc/RNCF0603BTE32K0/1710094</x:v>
      </x:c>
      <x:c r="L863" s="31" t="str"/>
    </x:row>
    <x:row r="864" ht="38" customHeight="1">
      <x:c r="A864" s="12" t="str">
        <x:v>R5302</x:v>
      </x:c>
      <x:c r="B864" s="12" t="str">
        <x:v>100k 1%</x:v>
      </x:c>
      <x:c r="C864" s="12" t="str">
        <x:v>Да</x:v>
      </x:c>
      <x:c r="D864" s="11" t="str">
        <x:v>CRCW0603100KFKEA</x:v>
      </x:c>
      <x:c r="E864" s="12" t="str">
        <x:v>Vishay</x:v>
      </x:c>
      <x:c r="F864" s="11" t="str">
        <x:v>0603</x:v>
      </x:c>
      <x:c r="G864" s="12" t="str">
        <x:v>SURFACE_MOUNT</x:v>
      </x:c>
      <x:c r="H864" s="12" t="str">
        <x:v>SELECTED_FAMILY_CODE</x:v>
      </x:c>
      <x:c r="I864" s="12" t="str">
        <x:v>Не выпущено</x:v>
      </x:c>
      <x:c r="J864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64" s="33" t="str">
        <x:v>https://www.vishay.com/docs/20035/dcrcwe3.pdf</x:v>
      </x:c>
      <x:c r="L864" s="33" t="str"/>
    </x:row>
    <x:row r="865" ht="38" customHeight="1">
      <x:c r="A865" s="2" t="str">
        <x:v>R5303</x:v>
      </x:c>
      <x:c r="B865" s="2" t="str">
        <x:v>10k 1%</x:v>
      </x:c>
      <x:c r="C865" s="2" t="str">
        <x:v>Да</x:v>
      </x:c>
      <x:c r="D865" s="8" t="str">
        <x:v>CRCW060310K0FKEA</x:v>
      </x:c>
      <x:c r="E865" s="2" t="str">
        <x:v>Vishay</x:v>
      </x:c>
      <x:c r="F865" s="8" t="str">
        <x:v>0603</x:v>
      </x:c>
      <x:c r="G865" s="2" t="str">
        <x:v>SURFACE_MOUNT</x:v>
      </x:c>
      <x:c r="H865" s="2" t="str">
        <x:v>SELECTED_FAMILY_CODE</x:v>
      </x:c>
      <x:c r="I865" s="2" t="str">
        <x:v>Не выпущено</x:v>
      </x:c>
      <x:c r="J86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65" s="31" t="str">
        <x:v>https://www.vishay.com/docs/20035/dcrcwe3.pdf</x:v>
      </x:c>
      <x:c r="L865" s="31" t="str"/>
    </x:row>
    <x:row r="866" ht="38" customHeight="1">
      <x:c r="A866" s="12" t="str">
        <x:v>R5400</x:v>
      </x:c>
      <x:c r="B866" s="12" t="str">
        <x:v>10k 1%</x:v>
      </x:c>
      <x:c r="C866" s="12" t="str">
        <x:v>Да</x:v>
      </x:c>
      <x:c r="D866" s="11" t="str">
        <x:v>CRCW060310K0FKEA</x:v>
      </x:c>
      <x:c r="E866" s="12" t="str">
        <x:v>Vishay</x:v>
      </x:c>
      <x:c r="F866" s="11" t="str">
        <x:v>0603</x:v>
      </x:c>
      <x:c r="G866" s="12" t="str">
        <x:v>SURFACE_MOUNT</x:v>
      </x:c>
      <x:c r="H866" s="12" t="str">
        <x:v>SELECTED_FAMILY_CODE</x:v>
      </x:c>
      <x:c r="I866" s="12" t="str">
        <x:v>Не выпущено</x:v>
      </x:c>
      <x:c r="J86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66" s="33" t="str">
        <x:v>https://www.vishay.com/docs/20035/dcrcwe3.pdf</x:v>
      </x:c>
      <x:c r="L866" s="33" t="str"/>
    </x:row>
    <x:row r="867" ht="38" customHeight="1">
      <x:c r="A867" s="2" t="str">
        <x:v>R5401</x:v>
      </x:c>
      <x:c r="B867" s="2" t="str">
        <x:v>1k</x:v>
      </x:c>
      <x:c r="C867" s="2" t="str">
        <x:v>Да</x:v>
      </x:c>
      <x:c r="D867" s="8" t="str">
        <x:v>CRCW06031K00FKEA</x:v>
      </x:c>
      <x:c r="E867" s="2" t="str">
        <x:v>Vishay</x:v>
      </x:c>
      <x:c r="F867" s="8" t="str">
        <x:v>0603</x:v>
      </x:c>
      <x:c r="G867" s="2" t="str">
        <x:v>SURFACE_MOUNT</x:v>
      </x:c>
      <x:c r="H867" s="2" t="str">
        <x:v>SELECTED_FAMILY_CODE</x:v>
      </x:c>
      <x:c r="I867" s="2" t="str">
        <x:v>Не выпущено</x:v>
      </x:c>
      <x:c r="J867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67" s="31" t="str">
        <x:v>https://www.vishay.com/docs/20035/dcrcwe3.pdf</x:v>
      </x:c>
      <x:c r="L867" s="31" t="str"/>
    </x:row>
    <x:row r="868" ht="38" customHeight="1">
      <x:c r="A868" s="12" t="str">
        <x:v>R5420</x:v>
      </x:c>
      <x:c r="B868" s="12" t="str">
        <x:v>100k</x:v>
      </x:c>
      <x:c r="C868" s="12" t="str">
        <x:v>Да</x:v>
      </x:c>
      <x:c r="D868" s="11" t="str">
        <x:v>CRCW0603100KFKEA</x:v>
      </x:c>
      <x:c r="E868" s="12" t="str">
        <x:v>Vishay</x:v>
      </x:c>
      <x:c r="F868" s="11" t="str">
        <x:v>0603</x:v>
      </x:c>
      <x:c r="G868" s="12" t="str">
        <x:v>SURFACE_MOUNT</x:v>
      </x:c>
      <x:c r="H868" s="12" t="str">
        <x:v>SELECTED_FAMILY_CODE</x:v>
      </x:c>
      <x:c r="I868" s="12" t="str">
        <x:v>Не выпущено</x:v>
      </x:c>
      <x:c r="J868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68" s="33" t="str">
        <x:v>https://www.vishay.com/docs/20035/dcrcwe3.pdf</x:v>
      </x:c>
      <x:c r="L868" s="33" t="str"/>
    </x:row>
    <x:row r="869" ht="38" customHeight="1">
      <x:c r="A869" s="2" t="str">
        <x:v>R5421</x:v>
      </x:c>
      <x:c r="B869" s="2" t="str">
        <x:v>147k 1% 25ppm</x:v>
      </x:c>
      <x:c r="C869" s="2" t="str">
        <x:v>Да</x:v>
      </x:c>
      <x:c r="D869" s="8" t="str">
        <x:v>TNPW0603147KBEEA</x:v>
      </x:c>
      <x:c r="E869" s="2" t="str">
        <x:v>Vishay</x:v>
      </x:c>
      <x:c r="F869" s="8" t="str">
        <x:v>0603</x:v>
      </x:c>
      <x:c r="G869" s="2" t="str">
        <x:v>SURFACE_MOUNT</x:v>
      </x:c>
      <x:c r="H869" s="2" t="str">
        <x:v>SELECTED_CATALOG_ITEM</x:v>
      </x:c>
      <x:c r="I869" s="2" t="str">
        <x:v>Не выпущено</x:v>
      </x:c>
      <x:c r="J869" s="31" t="str">
        <x:v>resistance_ohm: 147000; tolerance_pct: 0.1; tcr_ppm_c: 25; power_w: 0.21; working_voltage_v: 75; temperature_min_c: -55; temperature_max_c: 175; technology: thin film; aec_q200: True; derating: Use manufacturer power versus ambient/terminal temperature curve; PCB thermal and fault pulse envelope not qualified.</x:v>
      </x:c>
      <x:c r="K869" s="31" t="str">
        <x:v>https://www.digikey.com/en/products/detail/vishay-dale/TNPW0603147KBEEA/1607012; https://www.vishay.com/docs/28758/tnpw_e3.pdf</x:v>
      </x:c>
      <x:c r="L869" s="31" t="str"/>
    </x:row>
    <x:row r="870" ht="38" customHeight="1">
      <x:c r="A870" s="12" t="str">
        <x:v>R5422</x:v>
      </x:c>
      <x:c r="B870" s="12" t="str">
        <x:v>100k 1%</x:v>
      </x:c>
      <x:c r="C870" s="12" t="str">
        <x:v>Да</x:v>
      </x:c>
      <x:c r="D870" s="11" t="str">
        <x:v>CRCW0603100KFKEA</x:v>
      </x:c>
      <x:c r="E870" s="12" t="str">
        <x:v>Vishay</x:v>
      </x:c>
      <x:c r="F870" s="11" t="str">
        <x:v>0603</x:v>
      </x:c>
      <x:c r="G870" s="12" t="str">
        <x:v>SURFACE_MOUNT</x:v>
      </x:c>
      <x:c r="H870" s="12" t="str">
        <x:v>SELECTED_FAMILY_CODE</x:v>
      </x:c>
      <x:c r="I870" s="12" t="str">
        <x:v>Не выпущено</x:v>
      </x:c>
      <x:c r="J870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70" s="33" t="str">
        <x:v>https://www.vishay.com/docs/20035/dcrcwe3.pdf</x:v>
      </x:c>
      <x:c r="L870" s="33" t="str"/>
    </x:row>
    <x:row r="871" ht="38" customHeight="1">
      <x:c r="A871" s="2" t="str">
        <x:v>R5423</x:v>
      </x:c>
      <x:c r="B871" s="2" t="str">
        <x:v>39.2k 1%</x:v>
      </x:c>
      <x:c r="C871" s="2" t="str">
        <x:v>Да</x:v>
      </x:c>
      <x:c r="D871" s="8" t="str">
        <x:v>CRCW060339K2FKEA</x:v>
      </x:c>
      <x:c r="E871" s="2" t="str">
        <x:v>Vishay</x:v>
      </x:c>
      <x:c r="F871" s="8" t="str">
        <x:v>0603</x:v>
      </x:c>
      <x:c r="G871" s="2" t="str">
        <x:v>SURFACE_MOUNT</x:v>
      </x:c>
      <x:c r="H871" s="2" t="str">
        <x:v>SELECTED_FAMILY_CODE</x:v>
      </x:c>
      <x:c r="I871" s="2" t="str">
        <x:v>Не выпущено</x:v>
      </x:c>
      <x:c r="J871" s="31" t="str">
        <x:v>resistance_ohm: 39200.0;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71" s="31" t="str">
        <x:v>https://www.vishay.com/docs/20035/dcrcwe3.pdf</x:v>
      </x:c>
      <x:c r="L871" s="31" t="str"/>
    </x:row>
    <x:row r="872" ht="38" customHeight="1">
      <x:c r="A872" s="12" t="str">
        <x:v>R5424</x:v>
      </x:c>
      <x:c r="B872" s="12" t="str">
        <x:v>100k</x:v>
      </x:c>
      <x:c r="C872" s="12" t="str">
        <x:v>Да</x:v>
      </x:c>
      <x:c r="D872" s="11" t="str">
        <x:v>CRCW0603100KFKEA</x:v>
      </x:c>
      <x:c r="E872" s="12" t="str">
        <x:v>Vishay</x:v>
      </x:c>
      <x:c r="F872" s="11" t="str">
        <x:v>0603</x:v>
      </x:c>
      <x:c r="G872" s="12" t="str">
        <x:v>SURFACE_MOUNT</x:v>
      </x:c>
      <x:c r="H872" s="12" t="str">
        <x:v>SELECTED_FAMILY_CODE</x:v>
      </x:c>
      <x:c r="I872" s="12" t="str">
        <x:v>Не выпущено</x:v>
      </x:c>
      <x:c r="J872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72" s="33" t="str">
        <x:v>https://www.vishay.com/docs/20035/dcrcwe3.pdf</x:v>
      </x:c>
      <x:c r="L872" s="33" t="str"/>
    </x:row>
    <x:row r="873" ht="38" customHeight="1">
      <x:c r="A873" s="2" t="str">
        <x:v>R5425</x:v>
      </x:c>
      <x:c r="B873" s="2" t="str">
        <x:v>10R</x:v>
      </x:c>
      <x:c r="C873" s="2" t="str">
        <x:v>Да</x:v>
      </x:c>
      <x:c r="D873" s="8" t="str">
        <x:v>CRCW060310R0FKEA</x:v>
      </x:c>
      <x:c r="E873" s="2" t="str">
        <x:v>Vishay</x:v>
      </x:c>
      <x:c r="F873" s="8" t="str">
        <x:v>0603</x:v>
      </x:c>
      <x:c r="G873" s="2" t="str">
        <x:v>SURFACE_MOUNT</x:v>
      </x:c>
      <x:c r="H873" s="2" t="str">
        <x:v>SELECTED_FAMILY_CODE</x:v>
      </x:c>
      <x:c r="I873" s="2" t="str">
        <x:v>Не выпущено</x:v>
      </x:c>
      <x:c r="J873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73" s="31" t="str">
        <x:v>https://www.vishay.com/docs/20035/dcrcwe3.pdf</x:v>
      </x:c>
      <x:c r="L873" s="31" t="str"/>
    </x:row>
    <x:row r="874" ht="38" customHeight="1">
      <x:c r="A874" s="12" t="str">
        <x:v>R5426</x:v>
      </x:c>
      <x:c r="B874" s="12" t="str">
        <x:v>10k</x:v>
      </x:c>
      <x:c r="C874" s="12" t="str">
        <x:v>Да</x:v>
      </x:c>
      <x:c r="D874" s="11" t="str">
        <x:v>CRCW060310K0FKEA</x:v>
      </x:c>
      <x:c r="E874" s="12" t="str">
        <x:v>Vishay</x:v>
      </x:c>
      <x:c r="F874" s="11" t="str">
        <x:v>0603</x:v>
      </x:c>
      <x:c r="G874" s="12" t="str">
        <x:v>SURFACE_MOUNT</x:v>
      </x:c>
      <x:c r="H874" s="12" t="str">
        <x:v>SELECTED_FAMILY_CODE</x:v>
      </x:c>
      <x:c r="I874" s="12" t="str">
        <x:v>Не выпущено</x:v>
      </x:c>
      <x:c r="J874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74" s="33" t="str">
        <x:v>https://www.vishay.com/docs/20035/dcrcwe3.pdf</x:v>
      </x:c>
      <x:c r="L874" s="33" t="str"/>
    </x:row>
    <x:row r="875" ht="38" customHeight="1">
      <x:c r="A875" s="2" t="str">
        <x:v>R5427</x:v>
      </x:c>
      <x:c r="B875" s="2" t="str">
        <x:v>WSLP2512R0100FEA</x:v>
      </x:c>
      <x:c r="C875" s="2" t="str">
        <x:v>Да</x:v>
      </x:c>
      <x:c r="D875" s="8" t="str">
        <x:v>WSLP2512R0100FEA</x:v>
      </x:c>
      <x:c r="E875" s="2" t="str">
        <x:v>Vishay</x:v>
      </x:c>
      <x:c r="F875" s="8" t="str">
        <x:v>2512</x:v>
      </x:c>
      <x:c r="G875" s="2" t="str">
        <x:v>SURFACE_MOUNT</x:v>
      </x:c>
      <x:c r="H875" s="2" t="str">
        <x:v>SELECTED_CONDITIONAL</x:v>
      </x:c>
      <x:c r="I875" s="2" t="str">
        <x:v>Не выпущено</x:v>
      </x:c>
      <x:c r="J875" s="31" t="str">
        <x:v>resistance_ohm: 0.01; tolerance_pct: 1; power_w: 3; power_reference_temperature_c: 70; technology: metal strip; terminals: 2; temperature_min_c: -65; temperature_max_c: 170; pulse_rating: Manufacturer pulse curve; repetitive pulse duty unqualified; derating: Use manufacturer power versus ambient/terminal temperature curve; PCB thermal and fault pulse envelope not qualified.</x:v>
      </x:c>
      <x:c r="K875" s="31" t="str">
        <x:v>https://www.vishay.com/docs/30122/wslp.pdf</x:v>
      </x:c>
      <x:c r="L875" s="31" t="str">
        <x:v>Repetitive pulse current, board heat flow and Kelvin routing require qualification.</x:v>
      </x:c>
    </x:row>
    <x:row r="876" ht="38" customHeight="1">
      <x:c r="A876" s="12" t="str">
        <x:v>R5428</x:v>
      </x:c>
      <x:c r="B876" s="12" t="str">
        <x:v>4.99k 1% 25ppm</x:v>
      </x:c>
      <x:c r="C876" s="12" t="str">
        <x:v>Да</x:v>
      </x:c>
      <x:c r="D876" s="11" t="str">
        <x:v>RNCF0603BTE4K99</x:v>
      </x:c>
      <x:c r="E876" s="12" t="str">
        <x:v>Stackpole Electronics</x:v>
      </x:c>
      <x:c r="F876" s="11" t="str">
        <x:v>0603</x:v>
      </x:c>
      <x:c r="G876" s="12" t="str">
        <x:v>SURFACE_MOUNT</x:v>
      </x:c>
      <x:c r="H876" s="12" t="str">
        <x:v>SELECTED_CATALOG_ITEM</x:v>
      </x:c>
      <x:c r="I876" s="12" t="str">
        <x:v>Не выпущено</x:v>
      </x:c>
      <x:c r="J876" s="33" t="str">
        <x:v>resistance_ohm: 4990;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876" s="33" t="str">
        <x:v>https://www.digikey.com/en/products/detail/stackpole-electronics-inc/RNCF0603BTE4K99/16890134; https://www.seielect.com/Catalog/SEI-RNCF.pdf</x:v>
      </x:c>
      <x:c r="L876" s="33" t="str"/>
    </x:row>
    <x:row r="877" ht="38" customHeight="1">
      <x:c r="A877" s="2" t="str">
        <x:v>R5440</x:v>
      </x:c>
      <x:c r="B877" s="2" t="str">
        <x:v>100k</x:v>
      </x:c>
      <x:c r="C877" s="2" t="str">
        <x:v>Да</x:v>
      </x:c>
      <x:c r="D877" s="8" t="str">
        <x:v>CRCW0603100KFKEA</x:v>
      </x:c>
      <x:c r="E877" s="2" t="str">
        <x:v>Vishay</x:v>
      </x:c>
      <x:c r="F877" s="8" t="str">
        <x:v>0603</x:v>
      </x:c>
      <x:c r="G877" s="2" t="str">
        <x:v>SURFACE_MOUNT</x:v>
      </x:c>
      <x:c r="H877" s="2" t="str">
        <x:v>SELECTED_FAMILY_CODE</x:v>
      </x:c>
      <x:c r="I877" s="2" t="str">
        <x:v>Не выпущено</x:v>
      </x:c>
      <x:c r="J877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77" s="31" t="str">
        <x:v>https://www.vishay.com/docs/20035/dcrcwe3.pdf</x:v>
      </x:c>
      <x:c r="L877" s="31" t="str"/>
    </x:row>
    <x:row r="878" ht="38" customHeight="1">
      <x:c r="A878" s="12" t="str">
        <x:v>R5441</x:v>
      </x:c>
      <x:c r="B878" s="12" t="str">
        <x:v>147k 1% 25ppm</x:v>
      </x:c>
      <x:c r="C878" s="12" t="str">
        <x:v>Да</x:v>
      </x:c>
      <x:c r="D878" s="11" t="str">
        <x:v>TNPW0603147KBEEA</x:v>
      </x:c>
      <x:c r="E878" s="12" t="str">
        <x:v>Vishay</x:v>
      </x:c>
      <x:c r="F878" s="11" t="str">
        <x:v>0603</x:v>
      </x:c>
      <x:c r="G878" s="12" t="str">
        <x:v>SURFACE_MOUNT</x:v>
      </x:c>
      <x:c r="H878" s="12" t="str">
        <x:v>SELECTED_CATALOG_ITEM</x:v>
      </x:c>
      <x:c r="I878" s="12" t="str">
        <x:v>Не выпущено</x:v>
      </x:c>
      <x:c r="J878" s="33" t="str">
        <x:v>resistance_ohm: 147000; tolerance_pct: 0.1; tcr_ppm_c: 25; power_w: 0.21; working_voltage_v: 75; temperature_min_c: -55; temperature_max_c: 175; technology: thin film; aec_q200: True; derating: Use manufacturer power versus ambient/terminal temperature curve; PCB thermal and fault pulse envelope not qualified.</x:v>
      </x:c>
      <x:c r="K878" s="33" t="str">
        <x:v>https://www.digikey.com/en/products/detail/vishay-dale/TNPW0603147KBEEA/1607012; https://www.vishay.com/docs/28758/tnpw_e3.pdf</x:v>
      </x:c>
      <x:c r="L878" s="33" t="str"/>
    </x:row>
    <x:row r="879" ht="38" customHeight="1">
      <x:c r="A879" s="2" t="str">
        <x:v>R5442</x:v>
      </x:c>
      <x:c r="B879" s="2" t="str">
        <x:v>100k 1%</x:v>
      </x:c>
      <x:c r="C879" s="2" t="str">
        <x:v>Да</x:v>
      </x:c>
      <x:c r="D879" s="8" t="str">
        <x:v>CRCW0603100KFKEA</x:v>
      </x:c>
      <x:c r="E879" s="2" t="str">
        <x:v>Vishay</x:v>
      </x:c>
      <x:c r="F879" s="8" t="str">
        <x:v>0603</x:v>
      </x:c>
      <x:c r="G879" s="2" t="str">
        <x:v>SURFACE_MOUNT</x:v>
      </x:c>
      <x:c r="H879" s="2" t="str">
        <x:v>SELECTED_FAMILY_CODE</x:v>
      </x:c>
      <x:c r="I879" s="2" t="str">
        <x:v>Не выпущено</x:v>
      </x:c>
      <x:c r="J879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79" s="31" t="str">
        <x:v>https://www.vishay.com/docs/20035/dcrcwe3.pdf</x:v>
      </x:c>
      <x:c r="L879" s="31" t="str"/>
    </x:row>
    <x:row r="880" ht="38" customHeight="1">
      <x:c r="A880" s="12" t="str">
        <x:v>R5443</x:v>
      </x:c>
      <x:c r="B880" s="12" t="str">
        <x:v>39.2k 1%</x:v>
      </x:c>
      <x:c r="C880" s="12" t="str">
        <x:v>Да</x:v>
      </x:c>
      <x:c r="D880" s="11" t="str">
        <x:v>CRCW060339K2FKEA</x:v>
      </x:c>
      <x:c r="E880" s="12" t="str">
        <x:v>Vishay</x:v>
      </x:c>
      <x:c r="F880" s="11" t="str">
        <x:v>0603</x:v>
      </x:c>
      <x:c r="G880" s="12" t="str">
        <x:v>SURFACE_MOUNT</x:v>
      </x:c>
      <x:c r="H880" s="12" t="str">
        <x:v>SELECTED_FAMILY_CODE</x:v>
      </x:c>
      <x:c r="I880" s="12" t="str">
        <x:v>Не выпущено</x:v>
      </x:c>
      <x:c r="J880" s="33" t="str">
        <x:v>resistance_ohm: 39200.0;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80" s="33" t="str">
        <x:v>https://www.vishay.com/docs/20035/dcrcwe3.pdf</x:v>
      </x:c>
      <x:c r="L880" s="33" t="str"/>
    </x:row>
    <x:row r="881" ht="38" customHeight="1">
      <x:c r="A881" s="2" t="str">
        <x:v>R5444</x:v>
      </x:c>
      <x:c r="B881" s="2" t="str">
        <x:v>100k</x:v>
      </x:c>
      <x:c r="C881" s="2" t="str">
        <x:v>Да</x:v>
      </x:c>
      <x:c r="D881" s="8" t="str">
        <x:v>CRCW0603100KFKEA</x:v>
      </x:c>
      <x:c r="E881" s="2" t="str">
        <x:v>Vishay</x:v>
      </x:c>
      <x:c r="F881" s="8" t="str">
        <x:v>0603</x:v>
      </x:c>
      <x:c r="G881" s="2" t="str">
        <x:v>SURFACE_MOUNT</x:v>
      </x:c>
      <x:c r="H881" s="2" t="str">
        <x:v>SELECTED_FAMILY_CODE</x:v>
      </x:c>
      <x:c r="I881" s="2" t="str">
        <x:v>Не выпущено</x:v>
      </x:c>
      <x:c r="J881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81" s="31" t="str">
        <x:v>https://www.vishay.com/docs/20035/dcrcwe3.pdf</x:v>
      </x:c>
      <x:c r="L881" s="31" t="str"/>
    </x:row>
    <x:row r="882" ht="38" customHeight="1">
      <x:c r="A882" s="12" t="str">
        <x:v>R5445</x:v>
      </x:c>
      <x:c r="B882" s="12" t="str">
        <x:v>10R</x:v>
      </x:c>
      <x:c r="C882" s="12" t="str">
        <x:v>Да</x:v>
      </x:c>
      <x:c r="D882" s="11" t="str">
        <x:v>CRCW060310R0FKEA</x:v>
      </x:c>
      <x:c r="E882" s="12" t="str">
        <x:v>Vishay</x:v>
      </x:c>
      <x:c r="F882" s="11" t="str">
        <x:v>0603</x:v>
      </x:c>
      <x:c r="G882" s="12" t="str">
        <x:v>SURFACE_MOUNT</x:v>
      </x:c>
      <x:c r="H882" s="12" t="str">
        <x:v>SELECTED_FAMILY_CODE</x:v>
      </x:c>
      <x:c r="I882" s="12" t="str">
        <x:v>Не выпущено</x:v>
      </x:c>
      <x:c r="J882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82" s="33" t="str">
        <x:v>https://www.vishay.com/docs/20035/dcrcwe3.pdf</x:v>
      </x:c>
      <x:c r="L882" s="33" t="str"/>
    </x:row>
    <x:row r="883" ht="38" customHeight="1">
      <x:c r="A883" s="2" t="str">
        <x:v>R5446</x:v>
      </x:c>
      <x:c r="B883" s="2" t="str">
        <x:v>10k</x:v>
      </x:c>
      <x:c r="C883" s="2" t="str">
        <x:v>Да</x:v>
      </x:c>
      <x:c r="D883" s="8" t="str">
        <x:v>CRCW060310K0FKEA</x:v>
      </x:c>
      <x:c r="E883" s="2" t="str">
        <x:v>Vishay</x:v>
      </x:c>
      <x:c r="F883" s="8" t="str">
        <x:v>0603</x:v>
      </x:c>
      <x:c r="G883" s="2" t="str">
        <x:v>SURFACE_MOUNT</x:v>
      </x:c>
      <x:c r="H883" s="2" t="str">
        <x:v>SELECTED_FAMILY_CODE</x:v>
      </x:c>
      <x:c r="I883" s="2" t="str">
        <x:v>Не выпущено</x:v>
      </x:c>
      <x:c r="J88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83" s="31" t="str">
        <x:v>https://www.vishay.com/docs/20035/dcrcwe3.pdf</x:v>
      </x:c>
      <x:c r="L883" s="31" t="str"/>
    </x:row>
    <x:row r="884" ht="38" customHeight="1">
      <x:c r="A884" s="12" t="str">
        <x:v>R5447</x:v>
      </x:c>
      <x:c r="B884" s="12" t="str">
        <x:v>WSLP2512R0100FEA</x:v>
      </x:c>
      <x:c r="C884" s="12" t="str">
        <x:v>Да</x:v>
      </x:c>
      <x:c r="D884" s="11" t="str">
        <x:v>WSLP2512R0100FEA</x:v>
      </x:c>
      <x:c r="E884" s="12" t="str">
        <x:v>Vishay</x:v>
      </x:c>
      <x:c r="F884" s="11" t="str">
        <x:v>2512</x:v>
      </x:c>
      <x:c r="G884" s="12" t="str">
        <x:v>SURFACE_MOUNT</x:v>
      </x:c>
      <x:c r="H884" s="12" t="str">
        <x:v>SELECTED_CONDITIONAL</x:v>
      </x:c>
      <x:c r="I884" s="12" t="str">
        <x:v>Не выпущено</x:v>
      </x:c>
      <x:c r="J884" s="33" t="str">
        <x:v>resistance_ohm: 0.01; tolerance_pct: 1; power_w: 3; power_reference_temperature_c: 70; technology: metal strip; terminals: 2; temperature_min_c: -65; temperature_max_c: 170; pulse_rating: Manufacturer pulse curve; repetitive pulse duty unqualified; derating: Use manufacturer power versus ambient/terminal temperature curve; PCB thermal and fault pulse envelope not qualified.</x:v>
      </x:c>
      <x:c r="K884" s="33" t="str">
        <x:v>https://www.vishay.com/docs/30122/wslp.pdf</x:v>
      </x:c>
      <x:c r="L884" s="33" t="str">
        <x:v>Repetitive pulse current, board heat flow and Kelvin routing require qualification.</x:v>
      </x:c>
    </x:row>
    <x:row r="885" ht="38" customHeight="1">
      <x:c r="A885" s="2" t="str">
        <x:v>R5448</x:v>
      </x:c>
      <x:c r="B885" s="2" t="str">
        <x:v>4.99k 1% 25ppm</x:v>
      </x:c>
      <x:c r="C885" s="2" t="str">
        <x:v>Да</x:v>
      </x:c>
      <x:c r="D885" s="8" t="str">
        <x:v>RNCF0603BTE4K99</x:v>
      </x:c>
      <x:c r="E885" s="2" t="str">
        <x:v>Stackpole Electronics</x:v>
      </x:c>
      <x:c r="F885" s="8" t="str">
        <x:v>0603</x:v>
      </x:c>
      <x:c r="G885" s="2" t="str">
        <x:v>SURFACE_MOUNT</x:v>
      </x:c>
      <x:c r="H885" s="2" t="str">
        <x:v>SELECTED_CATALOG_ITEM</x:v>
      </x:c>
      <x:c r="I885" s="2" t="str">
        <x:v>Не выпущено</x:v>
      </x:c>
      <x:c r="J885" s="31" t="str">
        <x:v>resistance_ohm: 4990;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885" s="31" t="str">
        <x:v>https://www.digikey.com/en/products/detail/stackpole-electronics-inc/RNCF0603BTE4K99/16890134; https://www.seielect.com/Catalog/SEI-RNCF.pdf</x:v>
      </x:c>
      <x:c r="L885" s="31" t="str"/>
    </x:row>
    <x:row r="886" ht="38" customHeight="1">
      <x:c r="A886" s="12" t="str">
        <x:v>R5460</x:v>
      </x:c>
      <x:c r="B886" s="12" t="str">
        <x:v>100k</x:v>
      </x:c>
      <x:c r="C886" s="12" t="str">
        <x:v>Да</x:v>
      </x:c>
      <x:c r="D886" s="11" t="str">
        <x:v>CRCW0603100KFKEA</x:v>
      </x:c>
      <x:c r="E886" s="12" t="str">
        <x:v>Vishay</x:v>
      </x:c>
      <x:c r="F886" s="11" t="str">
        <x:v>0603</x:v>
      </x:c>
      <x:c r="G886" s="12" t="str">
        <x:v>SURFACE_MOUNT</x:v>
      </x:c>
      <x:c r="H886" s="12" t="str">
        <x:v>SELECTED_FAMILY_CODE</x:v>
      </x:c>
      <x:c r="I886" s="12" t="str">
        <x:v>Не выпущено</x:v>
      </x:c>
      <x:c r="J886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86" s="33" t="str">
        <x:v>https://www.vishay.com/docs/20035/dcrcwe3.pdf</x:v>
      </x:c>
      <x:c r="L886" s="33" t="str"/>
    </x:row>
    <x:row r="887" ht="38" customHeight="1">
      <x:c r="A887" s="2" t="str">
        <x:v>R5461</x:v>
      </x:c>
      <x:c r="B887" s="2" t="str">
        <x:v>147k 1% 25ppm</x:v>
      </x:c>
      <x:c r="C887" s="2" t="str">
        <x:v>Да</x:v>
      </x:c>
      <x:c r="D887" s="8" t="str">
        <x:v>TNPW0603147KBEEA</x:v>
      </x:c>
      <x:c r="E887" s="2" t="str">
        <x:v>Vishay</x:v>
      </x:c>
      <x:c r="F887" s="8" t="str">
        <x:v>0603</x:v>
      </x:c>
      <x:c r="G887" s="2" t="str">
        <x:v>SURFACE_MOUNT</x:v>
      </x:c>
      <x:c r="H887" s="2" t="str">
        <x:v>SELECTED_CATALOG_ITEM</x:v>
      </x:c>
      <x:c r="I887" s="2" t="str">
        <x:v>Не выпущено</x:v>
      </x:c>
      <x:c r="J887" s="31" t="str">
        <x:v>resistance_ohm: 147000; tolerance_pct: 0.1; tcr_ppm_c: 25; power_w: 0.21; working_voltage_v: 75; temperature_min_c: -55; temperature_max_c: 175; technology: thin film; aec_q200: True; derating: Use manufacturer power versus ambient/terminal temperature curve; PCB thermal and fault pulse envelope not qualified.</x:v>
      </x:c>
      <x:c r="K887" s="31" t="str">
        <x:v>https://www.digikey.com/en/products/detail/vishay-dale/TNPW0603147KBEEA/1607012; https://www.vishay.com/docs/28758/tnpw_e3.pdf</x:v>
      </x:c>
      <x:c r="L887" s="31" t="str"/>
    </x:row>
    <x:row r="888" ht="38" customHeight="1">
      <x:c r="A888" s="12" t="str">
        <x:v>R5462</x:v>
      </x:c>
      <x:c r="B888" s="12" t="str">
        <x:v>100k 1%</x:v>
      </x:c>
      <x:c r="C888" s="12" t="str">
        <x:v>Да</x:v>
      </x:c>
      <x:c r="D888" s="11" t="str">
        <x:v>CRCW0603100KFKEA</x:v>
      </x:c>
      <x:c r="E888" s="12" t="str">
        <x:v>Vishay</x:v>
      </x:c>
      <x:c r="F888" s="11" t="str">
        <x:v>0603</x:v>
      </x:c>
      <x:c r="G888" s="12" t="str">
        <x:v>SURFACE_MOUNT</x:v>
      </x:c>
      <x:c r="H888" s="12" t="str">
        <x:v>SELECTED_FAMILY_CODE</x:v>
      </x:c>
      <x:c r="I888" s="12" t="str">
        <x:v>Не выпущено</x:v>
      </x:c>
      <x:c r="J888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88" s="33" t="str">
        <x:v>https://www.vishay.com/docs/20035/dcrcwe3.pdf</x:v>
      </x:c>
      <x:c r="L888" s="33" t="str"/>
    </x:row>
    <x:row r="889" ht="38" customHeight="1">
      <x:c r="A889" s="2" t="str">
        <x:v>R5463</x:v>
      </x:c>
      <x:c r="B889" s="2" t="str">
        <x:v>39.2k 1%</x:v>
      </x:c>
      <x:c r="C889" s="2" t="str">
        <x:v>Да</x:v>
      </x:c>
      <x:c r="D889" s="8" t="str">
        <x:v>CRCW060339K2FKEA</x:v>
      </x:c>
      <x:c r="E889" s="2" t="str">
        <x:v>Vishay</x:v>
      </x:c>
      <x:c r="F889" s="8" t="str">
        <x:v>0603</x:v>
      </x:c>
      <x:c r="G889" s="2" t="str">
        <x:v>SURFACE_MOUNT</x:v>
      </x:c>
      <x:c r="H889" s="2" t="str">
        <x:v>SELECTED_FAMILY_CODE</x:v>
      </x:c>
      <x:c r="I889" s="2" t="str">
        <x:v>Не выпущено</x:v>
      </x:c>
      <x:c r="J889" s="31" t="str">
        <x:v>resistance_ohm: 39200.0;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89" s="31" t="str">
        <x:v>https://www.vishay.com/docs/20035/dcrcwe3.pdf</x:v>
      </x:c>
      <x:c r="L889" s="31" t="str"/>
    </x:row>
    <x:row r="890" ht="38" customHeight="1">
      <x:c r="A890" s="12" t="str">
        <x:v>R5464</x:v>
      </x:c>
      <x:c r="B890" s="12" t="str">
        <x:v>100k</x:v>
      </x:c>
      <x:c r="C890" s="12" t="str">
        <x:v>Да</x:v>
      </x:c>
      <x:c r="D890" s="11" t="str">
        <x:v>CRCW0603100KFKEA</x:v>
      </x:c>
      <x:c r="E890" s="12" t="str">
        <x:v>Vishay</x:v>
      </x:c>
      <x:c r="F890" s="11" t="str">
        <x:v>0603</x:v>
      </x:c>
      <x:c r="G890" s="12" t="str">
        <x:v>SURFACE_MOUNT</x:v>
      </x:c>
      <x:c r="H890" s="12" t="str">
        <x:v>SELECTED_FAMILY_CODE</x:v>
      </x:c>
      <x:c r="I890" s="12" t="str">
        <x:v>Не выпущено</x:v>
      </x:c>
      <x:c r="J890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90" s="33" t="str">
        <x:v>https://www.vishay.com/docs/20035/dcrcwe3.pdf</x:v>
      </x:c>
      <x:c r="L890" s="33" t="str"/>
    </x:row>
    <x:row r="891" ht="38" customHeight="1">
      <x:c r="A891" s="2" t="str">
        <x:v>R5465</x:v>
      </x:c>
      <x:c r="B891" s="2" t="str">
        <x:v>10R</x:v>
      </x:c>
      <x:c r="C891" s="2" t="str">
        <x:v>Да</x:v>
      </x:c>
      <x:c r="D891" s="8" t="str">
        <x:v>CRCW060310R0FKEA</x:v>
      </x:c>
      <x:c r="E891" s="2" t="str">
        <x:v>Vishay</x:v>
      </x:c>
      <x:c r="F891" s="8" t="str">
        <x:v>0603</x:v>
      </x:c>
      <x:c r="G891" s="2" t="str">
        <x:v>SURFACE_MOUNT</x:v>
      </x:c>
      <x:c r="H891" s="2" t="str">
        <x:v>SELECTED_FAMILY_CODE</x:v>
      </x:c>
      <x:c r="I891" s="2" t="str">
        <x:v>Не выпущено</x:v>
      </x:c>
      <x:c r="J891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91" s="31" t="str">
        <x:v>https://www.vishay.com/docs/20035/dcrcwe3.pdf</x:v>
      </x:c>
      <x:c r="L891" s="31" t="str"/>
    </x:row>
    <x:row r="892" ht="38" customHeight="1">
      <x:c r="A892" s="12" t="str">
        <x:v>R5466</x:v>
      </x:c>
      <x:c r="B892" s="12" t="str">
        <x:v>10k</x:v>
      </x:c>
      <x:c r="C892" s="12" t="str">
        <x:v>Да</x:v>
      </x:c>
      <x:c r="D892" s="11" t="str">
        <x:v>CRCW060310K0FKEA</x:v>
      </x:c>
      <x:c r="E892" s="12" t="str">
        <x:v>Vishay</x:v>
      </x:c>
      <x:c r="F892" s="11" t="str">
        <x:v>0603</x:v>
      </x:c>
      <x:c r="G892" s="12" t="str">
        <x:v>SURFACE_MOUNT</x:v>
      </x:c>
      <x:c r="H892" s="12" t="str">
        <x:v>SELECTED_FAMILY_CODE</x:v>
      </x:c>
      <x:c r="I892" s="12" t="str">
        <x:v>Не выпущено</x:v>
      </x:c>
      <x:c r="J89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92" s="33" t="str">
        <x:v>https://www.vishay.com/docs/20035/dcrcwe3.pdf</x:v>
      </x:c>
      <x:c r="L892" s="33" t="str"/>
    </x:row>
    <x:row r="893" ht="38" customHeight="1">
      <x:c r="A893" s="2" t="str">
        <x:v>R5467</x:v>
      </x:c>
      <x:c r="B893" s="2" t="str">
        <x:v>WSLP2512R0100FEA</x:v>
      </x:c>
      <x:c r="C893" s="2" t="str">
        <x:v>Да</x:v>
      </x:c>
      <x:c r="D893" s="8" t="str">
        <x:v>WSLP2512R0100FEA</x:v>
      </x:c>
      <x:c r="E893" s="2" t="str">
        <x:v>Vishay</x:v>
      </x:c>
      <x:c r="F893" s="8" t="str">
        <x:v>2512</x:v>
      </x:c>
      <x:c r="G893" s="2" t="str">
        <x:v>SURFACE_MOUNT</x:v>
      </x:c>
      <x:c r="H893" s="2" t="str">
        <x:v>SELECTED_CONDITIONAL</x:v>
      </x:c>
      <x:c r="I893" s="2" t="str">
        <x:v>Не выпущено</x:v>
      </x:c>
      <x:c r="J893" s="31" t="str">
        <x:v>resistance_ohm: 0.01; tolerance_pct: 1; power_w: 3; power_reference_temperature_c: 70; technology: metal strip; terminals: 2; temperature_min_c: -65; temperature_max_c: 170; pulse_rating: Manufacturer pulse curve; repetitive pulse duty unqualified; derating: Use manufacturer power versus ambient/terminal temperature curve; PCB thermal and fault pulse envelope not qualified.</x:v>
      </x:c>
      <x:c r="K893" s="31" t="str">
        <x:v>https://www.vishay.com/docs/30122/wslp.pdf</x:v>
      </x:c>
      <x:c r="L893" s="31" t="str">
        <x:v>Repetitive pulse current, board heat flow and Kelvin routing require qualification.</x:v>
      </x:c>
    </x:row>
    <x:row r="894" ht="38" customHeight="1">
      <x:c r="A894" s="12" t="str">
        <x:v>R5468</x:v>
      </x:c>
      <x:c r="B894" s="12" t="str">
        <x:v>4.99k 1% 25ppm</x:v>
      </x:c>
      <x:c r="C894" s="12" t="str">
        <x:v>Да</x:v>
      </x:c>
      <x:c r="D894" s="11" t="str">
        <x:v>RNCF0603BTE4K99</x:v>
      </x:c>
      <x:c r="E894" s="12" t="str">
        <x:v>Stackpole Electronics</x:v>
      </x:c>
      <x:c r="F894" s="11" t="str">
        <x:v>0603</x:v>
      </x:c>
      <x:c r="G894" s="12" t="str">
        <x:v>SURFACE_MOUNT</x:v>
      </x:c>
      <x:c r="H894" s="12" t="str">
        <x:v>SELECTED_CATALOG_ITEM</x:v>
      </x:c>
      <x:c r="I894" s="12" t="str">
        <x:v>Не выпущено</x:v>
      </x:c>
      <x:c r="J894" s="33" t="str">
        <x:v>resistance_ohm: 4990;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894" s="33" t="str">
        <x:v>https://www.digikey.com/en/products/detail/stackpole-electronics-inc/RNCF0603BTE4K99/16890134; https://www.seielect.com/Catalog/SEI-RNCF.pdf</x:v>
      </x:c>
      <x:c r="L894" s="33" t="str"/>
    </x:row>
    <x:row r="895" ht="38" customHeight="1">
      <x:c r="A895" s="2" t="str">
        <x:v>R5480</x:v>
      </x:c>
      <x:c r="B895" s="2" t="str">
        <x:v>100k</x:v>
      </x:c>
      <x:c r="C895" s="2" t="str">
        <x:v>Да</x:v>
      </x:c>
      <x:c r="D895" s="8" t="str">
        <x:v>CRCW0603100KFKEA</x:v>
      </x:c>
      <x:c r="E895" s="2" t="str">
        <x:v>Vishay</x:v>
      </x:c>
      <x:c r="F895" s="8" t="str">
        <x:v>0603</x:v>
      </x:c>
      <x:c r="G895" s="2" t="str">
        <x:v>SURFACE_MOUNT</x:v>
      </x:c>
      <x:c r="H895" s="2" t="str">
        <x:v>SELECTED_FAMILY_CODE</x:v>
      </x:c>
      <x:c r="I895" s="2" t="str">
        <x:v>Не выпущено</x:v>
      </x:c>
      <x:c r="J895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95" s="31" t="str">
        <x:v>https://www.vishay.com/docs/20035/dcrcwe3.pdf</x:v>
      </x:c>
      <x:c r="L895" s="31" t="str"/>
    </x:row>
    <x:row r="896" ht="38" customHeight="1">
      <x:c r="A896" s="12" t="str">
        <x:v>R5481</x:v>
      </x:c>
      <x:c r="B896" s="12" t="str">
        <x:v>147k 1% 25ppm</x:v>
      </x:c>
      <x:c r="C896" s="12" t="str">
        <x:v>Да</x:v>
      </x:c>
      <x:c r="D896" s="11" t="str">
        <x:v>TNPW0603147KBEEA</x:v>
      </x:c>
      <x:c r="E896" s="12" t="str">
        <x:v>Vishay</x:v>
      </x:c>
      <x:c r="F896" s="11" t="str">
        <x:v>0603</x:v>
      </x:c>
      <x:c r="G896" s="12" t="str">
        <x:v>SURFACE_MOUNT</x:v>
      </x:c>
      <x:c r="H896" s="12" t="str">
        <x:v>SELECTED_CATALOG_ITEM</x:v>
      </x:c>
      <x:c r="I896" s="12" t="str">
        <x:v>Не выпущено</x:v>
      </x:c>
      <x:c r="J896" s="33" t="str">
        <x:v>resistance_ohm: 147000; tolerance_pct: 0.1; tcr_ppm_c: 25; power_w: 0.21; working_voltage_v: 75; temperature_min_c: -55; temperature_max_c: 175; technology: thin film; aec_q200: True; derating: Use manufacturer power versus ambient/terminal temperature curve; PCB thermal and fault pulse envelope not qualified.</x:v>
      </x:c>
      <x:c r="K896" s="33" t="str">
        <x:v>https://www.digikey.com/en/products/detail/vishay-dale/TNPW0603147KBEEA/1607012; https://www.vishay.com/docs/28758/tnpw_e3.pdf</x:v>
      </x:c>
      <x:c r="L896" s="33" t="str"/>
    </x:row>
    <x:row r="897" ht="38" customHeight="1">
      <x:c r="A897" s="2" t="str">
        <x:v>R5482</x:v>
      </x:c>
      <x:c r="B897" s="2" t="str">
        <x:v>100k 1%</x:v>
      </x:c>
      <x:c r="C897" s="2" t="str">
        <x:v>Да</x:v>
      </x:c>
      <x:c r="D897" s="8" t="str">
        <x:v>CRCW0603100KFKEA</x:v>
      </x:c>
      <x:c r="E897" s="2" t="str">
        <x:v>Vishay</x:v>
      </x:c>
      <x:c r="F897" s="8" t="str">
        <x:v>0603</x:v>
      </x:c>
      <x:c r="G897" s="2" t="str">
        <x:v>SURFACE_MOUNT</x:v>
      </x:c>
      <x:c r="H897" s="2" t="str">
        <x:v>SELECTED_FAMILY_CODE</x:v>
      </x:c>
      <x:c r="I897" s="2" t="str">
        <x:v>Не выпущено</x:v>
      </x:c>
      <x:c r="J897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97" s="31" t="str">
        <x:v>https://www.vishay.com/docs/20035/dcrcwe3.pdf</x:v>
      </x:c>
      <x:c r="L897" s="31" t="str"/>
    </x:row>
    <x:row r="898" ht="38" customHeight="1">
      <x:c r="A898" s="12" t="str">
        <x:v>R5483</x:v>
      </x:c>
      <x:c r="B898" s="12" t="str">
        <x:v>39.2k 1%</x:v>
      </x:c>
      <x:c r="C898" s="12" t="str">
        <x:v>Да</x:v>
      </x:c>
      <x:c r="D898" s="11" t="str">
        <x:v>CRCW060339K2FKEA</x:v>
      </x:c>
      <x:c r="E898" s="12" t="str">
        <x:v>Vishay</x:v>
      </x:c>
      <x:c r="F898" s="11" t="str">
        <x:v>0603</x:v>
      </x:c>
      <x:c r="G898" s="12" t="str">
        <x:v>SURFACE_MOUNT</x:v>
      </x:c>
      <x:c r="H898" s="12" t="str">
        <x:v>SELECTED_FAMILY_CODE</x:v>
      </x:c>
      <x:c r="I898" s="12" t="str">
        <x:v>Не выпущено</x:v>
      </x:c>
      <x:c r="J898" s="33" t="str">
        <x:v>resistance_ohm: 39200.0;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98" s="33" t="str">
        <x:v>https://www.vishay.com/docs/20035/dcrcwe3.pdf</x:v>
      </x:c>
      <x:c r="L898" s="33" t="str"/>
    </x:row>
    <x:row r="899" ht="38" customHeight="1">
      <x:c r="A899" s="2" t="str">
        <x:v>R5484</x:v>
      </x:c>
      <x:c r="B899" s="2" t="str">
        <x:v>100k</x:v>
      </x:c>
      <x:c r="C899" s="2" t="str">
        <x:v>Да</x:v>
      </x:c>
      <x:c r="D899" s="8" t="str">
        <x:v>CRCW0603100KFKEA</x:v>
      </x:c>
      <x:c r="E899" s="2" t="str">
        <x:v>Vishay</x:v>
      </x:c>
      <x:c r="F899" s="8" t="str">
        <x:v>0603</x:v>
      </x:c>
      <x:c r="G899" s="2" t="str">
        <x:v>SURFACE_MOUNT</x:v>
      </x:c>
      <x:c r="H899" s="2" t="str">
        <x:v>SELECTED_FAMILY_CODE</x:v>
      </x:c>
      <x:c r="I899" s="2" t="str">
        <x:v>Не выпущено</x:v>
      </x:c>
      <x:c r="J899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899" s="31" t="str">
        <x:v>https://www.vishay.com/docs/20035/dcrcwe3.pdf</x:v>
      </x:c>
      <x:c r="L899" s="31" t="str"/>
    </x:row>
    <x:row r="900" ht="38" customHeight="1">
      <x:c r="A900" s="12" t="str">
        <x:v>R5485</x:v>
      </x:c>
      <x:c r="B900" s="12" t="str">
        <x:v>10R</x:v>
      </x:c>
      <x:c r="C900" s="12" t="str">
        <x:v>Да</x:v>
      </x:c>
      <x:c r="D900" s="11" t="str">
        <x:v>CRCW060310R0FKEA</x:v>
      </x:c>
      <x:c r="E900" s="12" t="str">
        <x:v>Vishay</x:v>
      </x:c>
      <x:c r="F900" s="11" t="str">
        <x:v>0603</x:v>
      </x:c>
      <x:c r="G900" s="12" t="str">
        <x:v>SURFACE_MOUNT</x:v>
      </x:c>
      <x:c r="H900" s="12" t="str">
        <x:v>SELECTED_FAMILY_CODE</x:v>
      </x:c>
      <x:c r="I900" s="12" t="str">
        <x:v>Не выпущено</x:v>
      </x:c>
      <x:c r="J900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00" s="33" t="str">
        <x:v>https://www.vishay.com/docs/20035/dcrcwe3.pdf</x:v>
      </x:c>
      <x:c r="L900" s="33" t="str"/>
    </x:row>
    <x:row r="901" ht="38" customHeight="1">
      <x:c r="A901" s="2" t="str">
        <x:v>R5486</x:v>
      </x:c>
      <x:c r="B901" s="2" t="str">
        <x:v>10k</x:v>
      </x:c>
      <x:c r="C901" s="2" t="str">
        <x:v>Да</x:v>
      </x:c>
      <x:c r="D901" s="8" t="str">
        <x:v>CRCW060310K0FKEA</x:v>
      </x:c>
      <x:c r="E901" s="2" t="str">
        <x:v>Vishay</x:v>
      </x:c>
      <x:c r="F901" s="8" t="str">
        <x:v>0603</x:v>
      </x:c>
      <x:c r="G901" s="2" t="str">
        <x:v>SURFACE_MOUNT</x:v>
      </x:c>
      <x:c r="H901" s="2" t="str">
        <x:v>SELECTED_FAMILY_CODE</x:v>
      </x:c>
      <x:c r="I901" s="2" t="str">
        <x:v>Не выпущено</x:v>
      </x:c>
      <x:c r="J901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01" s="31" t="str">
        <x:v>https://www.vishay.com/docs/20035/dcrcwe3.pdf</x:v>
      </x:c>
      <x:c r="L901" s="31" t="str"/>
    </x:row>
    <x:row r="902" ht="38" customHeight="1">
      <x:c r="A902" s="12" t="str">
        <x:v>R5487</x:v>
      </x:c>
      <x:c r="B902" s="12" t="str">
        <x:v>WSLP2512R0100FEA</x:v>
      </x:c>
      <x:c r="C902" s="12" t="str">
        <x:v>Да</x:v>
      </x:c>
      <x:c r="D902" s="11" t="str">
        <x:v>WSLP2512R0100FEA</x:v>
      </x:c>
      <x:c r="E902" s="12" t="str">
        <x:v>Vishay</x:v>
      </x:c>
      <x:c r="F902" s="11" t="str">
        <x:v>2512</x:v>
      </x:c>
      <x:c r="G902" s="12" t="str">
        <x:v>SURFACE_MOUNT</x:v>
      </x:c>
      <x:c r="H902" s="12" t="str">
        <x:v>SELECTED_CONDITIONAL</x:v>
      </x:c>
      <x:c r="I902" s="12" t="str">
        <x:v>Не выпущено</x:v>
      </x:c>
      <x:c r="J902" s="33" t="str">
        <x:v>resistance_ohm: 0.01; tolerance_pct: 1; power_w: 3; power_reference_temperature_c: 70; technology: metal strip; terminals: 2; temperature_min_c: -65; temperature_max_c: 170; pulse_rating: Manufacturer pulse curve; repetitive pulse duty unqualified; derating: Use manufacturer power versus ambient/terminal temperature curve; PCB thermal and fault pulse envelope not qualified.</x:v>
      </x:c>
      <x:c r="K902" s="33" t="str">
        <x:v>https://www.vishay.com/docs/30122/wslp.pdf</x:v>
      </x:c>
      <x:c r="L902" s="33" t="str">
        <x:v>Repetitive pulse current, board heat flow and Kelvin routing require qualification.</x:v>
      </x:c>
    </x:row>
    <x:row r="903" ht="38" customHeight="1">
      <x:c r="A903" s="2" t="str">
        <x:v>R5488</x:v>
      </x:c>
      <x:c r="B903" s="2" t="str">
        <x:v>4.99k 1% 25ppm</x:v>
      </x:c>
      <x:c r="C903" s="2" t="str">
        <x:v>Да</x:v>
      </x:c>
      <x:c r="D903" s="8" t="str">
        <x:v>RNCF0603BTE4K99</x:v>
      </x:c>
      <x:c r="E903" s="2" t="str">
        <x:v>Stackpole Electronics</x:v>
      </x:c>
      <x:c r="F903" s="8" t="str">
        <x:v>0603</x:v>
      </x:c>
      <x:c r="G903" s="2" t="str">
        <x:v>SURFACE_MOUNT</x:v>
      </x:c>
      <x:c r="H903" s="2" t="str">
        <x:v>SELECTED_CATALOG_ITEM</x:v>
      </x:c>
      <x:c r="I903" s="2" t="str">
        <x:v>Не выпущено</x:v>
      </x:c>
      <x:c r="J903" s="31" t="str">
        <x:v>resistance_ohm: 4990;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903" s="31" t="str">
        <x:v>https://www.digikey.com/en/products/detail/stackpole-electronics-inc/RNCF0603BTE4K99/16890134; https://www.seielect.com/Catalog/SEI-RNCF.pdf</x:v>
      </x:c>
      <x:c r="L903" s="31" t="str"/>
    </x:row>
    <x:row r="904" ht="38" customHeight="1">
      <x:c r="A904" s="12" t="str">
        <x:v>R5500</x:v>
      </x:c>
      <x:c r="B904" s="12" t="str">
        <x:v>100k</x:v>
      </x:c>
      <x:c r="C904" s="12" t="str">
        <x:v>Да</x:v>
      </x:c>
      <x:c r="D904" s="11" t="str">
        <x:v>CRCW0603100KFKEA</x:v>
      </x:c>
      <x:c r="E904" s="12" t="str">
        <x:v>Vishay</x:v>
      </x:c>
      <x:c r="F904" s="11" t="str">
        <x:v>0603</x:v>
      </x:c>
      <x:c r="G904" s="12" t="str">
        <x:v>SURFACE_MOUNT</x:v>
      </x:c>
      <x:c r="H904" s="12" t="str">
        <x:v>SELECTED_FAMILY_CODE</x:v>
      </x:c>
      <x:c r="I904" s="12" t="str">
        <x:v>Не выпущено</x:v>
      </x:c>
      <x:c r="J904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04" s="33" t="str">
        <x:v>https://www.vishay.com/docs/20035/dcrcwe3.pdf</x:v>
      </x:c>
      <x:c r="L904" s="33" t="str"/>
    </x:row>
    <x:row r="905" ht="38" customHeight="1">
      <x:c r="A905" s="2" t="str">
        <x:v>R5501</x:v>
      </x:c>
      <x:c r="B905" s="2" t="str">
        <x:v>147k 1% 25ppm</x:v>
      </x:c>
      <x:c r="C905" s="2" t="str">
        <x:v>Да</x:v>
      </x:c>
      <x:c r="D905" s="8" t="str">
        <x:v>TNPW0603147KBEEA</x:v>
      </x:c>
      <x:c r="E905" s="2" t="str">
        <x:v>Vishay</x:v>
      </x:c>
      <x:c r="F905" s="8" t="str">
        <x:v>0603</x:v>
      </x:c>
      <x:c r="G905" s="2" t="str">
        <x:v>SURFACE_MOUNT</x:v>
      </x:c>
      <x:c r="H905" s="2" t="str">
        <x:v>SELECTED_CATALOG_ITEM</x:v>
      </x:c>
      <x:c r="I905" s="2" t="str">
        <x:v>Не выпущено</x:v>
      </x:c>
      <x:c r="J905" s="31" t="str">
        <x:v>resistance_ohm: 147000; tolerance_pct: 0.1; tcr_ppm_c: 25; power_w: 0.21; working_voltage_v: 75; temperature_min_c: -55; temperature_max_c: 175; technology: thin film; aec_q200: True; derating: Use manufacturer power versus ambient/terminal temperature curve; PCB thermal and fault pulse envelope not qualified.</x:v>
      </x:c>
      <x:c r="K905" s="31" t="str">
        <x:v>https://www.digikey.com/en/products/detail/vishay-dale/TNPW0603147KBEEA/1607012; https://www.vishay.com/docs/28758/tnpw_e3.pdf</x:v>
      </x:c>
      <x:c r="L905" s="31" t="str"/>
    </x:row>
    <x:row r="906" ht="38" customHeight="1">
      <x:c r="A906" s="12" t="str">
        <x:v>R5502</x:v>
      </x:c>
      <x:c r="B906" s="12" t="str">
        <x:v>100k 1%</x:v>
      </x:c>
      <x:c r="C906" s="12" t="str">
        <x:v>Да</x:v>
      </x:c>
      <x:c r="D906" s="11" t="str">
        <x:v>CRCW0603100KFKEA</x:v>
      </x:c>
      <x:c r="E906" s="12" t="str">
        <x:v>Vishay</x:v>
      </x:c>
      <x:c r="F906" s="11" t="str">
        <x:v>0603</x:v>
      </x:c>
      <x:c r="G906" s="12" t="str">
        <x:v>SURFACE_MOUNT</x:v>
      </x:c>
      <x:c r="H906" s="12" t="str">
        <x:v>SELECTED_FAMILY_CODE</x:v>
      </x:c>
      <x:c r="I906" s="12" t="str">
        <x:v>Не выпущено</x:v>
      </x:c>
      <x:c r="J906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06" s="33" t="str">
        <x:v>https://www.vishay.com/docs/20035/dcrcwe3.pdf</x:v>
      </x:c>
      <x:c r="L906" s="33" t="str"/>
    </x:row>
    <x:row r="907" ht="38" customHeight="1">
      <x:c r="A907" s="2" t="str">
        <x:v>R5503</x:v>
      </x:c>
      <x:c r="B907" s="2" t="str">
        <x:v>39.2k 1%</x:v>
      </x:c>
      <x:c r="C907" s="2" t="str">
        <x:v>Да</x:v>
      </x:c>
      <x:c r="D907" s="8" t="str">
        <x:v>CRCW060339K2FKEA</x:v>
      </x:c>
      <x:c r="E907" s="2" t="str">
        <x:v>Vishay</x:v>
      </x:c>
      <x:c r="F907" s="8" t="str">
        <x:v>0603</x:v>
      </x:c>
      <x:c r="G907" s="2" t="str">
        <x:v>SURFACE_MOUNT</x:v>
      </x:c>
      <x:c r="H907" s="2" t="str">
        <x:v>SELECTED_FAMILY_CODE</x:v>
      </x:c>
      <x:c r="I907" s="2" t="str">
        <x:v>Не выпущено</x:v>
      </x:c>
      <x:c r="J907" s="31" t="str">
        <x:v>resistance_ohm: 39200.0;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07" s="31" t="str">
        <x:v>https://www.vishay.com/docs/20035/dcrcwe3.pdf</x:v>
      </x:c>
      <x:c r="L907" s="31" t="str"/>
    </x:row>
    <x:row r="908" ht="38" customHeight="1">
      <x:c r="A908" s="12" t="str">
        <x:v>R5504</x:v>
      </x:c>
      <x:c r="B908" s="12" t="str">
        <x:v>100k</x:v>
      </x:c>
      <x:c r="C908" s="12" t="str">
        <x:v>Да</x:v>
      </x:c>
      <x:c r="D908" s="11" t="str">
        <x:v>CRCW0603100KFKEA</x:v>
      </x:c>
      <x:c r="E908" s="12" t="str">
        <x:v>Vishay</x:v>
      </x:c>
      <x:c r="F908" s="11" t="str">
        <x:v>0603</x:v>
      </x:c>
      <x:c r="G908" s="12" t="str">
        <x:v>SURFACE_MOUNT</x:v>
      </x:c>
      <x:c r="H908" s="12" t="str">
        <x:v>SELECTED_FAMILY_CODE</x:v>
      </x:c>
      <x:c r="I908" s="12" t="str">
        <x:v>Не выпущено</x:v>
      </x:c>
      <x:c r="J908" s="33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08" s="33" t="str">
        <x:v>https://www.vishay.com/docs/20035/dcrcwe3.pdf</x:v>
      </x:c>
      <x:c r="L908" s="33" t="str"/>
    </x:row>
    <x:row r="909" ht="38" customHeight="1">
      <x:c r="A909" s="2" t="str">
        <x:v>R5505</x:v>
      </x:c>
      <x:c r="B909" s="2" t="str">
        <x:v>10R</x:v>
      </x:c>
      <x:c r="C909" s="2" t="str">
        <x:v>Да</x:v>
      </x:c>
      <x:c r="D909" s="8" t="str">
        <x:v>CRCW060310R0FKEA</x:v>
      </x:c>
      <x:c r="E909" s="2" t="str">
        <x:v>Vishay</x:v>
      </x:c>
      <x:c r="F909" s="8" t="str">
        <x:v>0603</x:v>
      </x:c>
      <x:c r="G909" s="2" t="str">
        <x:v>SURFACE_MOUNT</x:v>
      </x:c>
      <x:c r="H909" s="2" t="str">
        <x:v>SELECTED_FAMILY_CODE</x:v>
      </x:c>
      <x:c r="I909" s="2" t="str">
        <x:v>Не выпущено</x:v>
      </x:c>
      <x:c r="J909" s="31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09" s="31" t="str">
        <x:v>https://www.vishay.com/docs/20035/dcrcwe3.pdf</x:v>
      </x:c>
      <x:c r="L909" s="31" t="str"/>
    </x:row>
    <x:row r="910" ht="38" customHeight="1">
      <x:c r="A910" s="12" t="str">
        <x:v>R5506</x:v>
      </x:c>
      <x:c r="B910" s="12" t="str">
        <x:v>10k</x:v>
      </x:c>
      <x:c r="C910" s="12" t="str">
        <x:v>Да</x:v>
      </x:c>
      <x:c r="D910" s="11" t="str">
        <x:v>CRCW060310K0FKEA</x:v>
      </x:c>
      <x:c r="E910" s="12" t="str">
        <x:v>Vishay</x:v>
      </x:c>
      <x:c r="F910" s="11" t="str">
        <x:v>0603</x:v>
      </x:c>
      <x:c r="G910" s="12" t="str">
        <x:v>SURFACE_MOUNT</x:v>
      </x:c>
      <x:c r="H910" s="12" t="str">
        <x:v>SELECTED_FAMILY_CODE</x:v>
      </x:c>
      <x:c r="I910" s="12" t="str">
        <x:v>Не выпущено</x:v>
      </x:c>
      <x:c r="J91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10" s="33" t="str">
        <x:v>https://www.vishay.com/docs/20035/dcrcwe3.pdf</x:v>
      </x:c>
      <x:c r="L910" s="33" t="str"/>
    </x:row>
    <x:row r="911" ht="38" customHeight="1">
      <x:c r="A911" s="2" t="str">
        <x:v>R5507</x:v>
      </x:c>
      <x:c r="B911" s="2" t="str">
        <x:v>WSLP2512R0100FEA</x:v>
      </x:c>
      <x:c r="C911" s="2" t="str">
        <x:v>Да</x:v>
      </x:c>
      <x:c r="D911" s="8" t="str">
        <x:v>WSLP2512R0100FEA</x:v>
      </x:c>
      <x:c r="E911" s="2" t="str">
        <x:v>Vishay</x:v>
      </x:c>
      <x:c r="F911" s="8" t="str">
        <x:v>2512</x:v>
      </x:c>
      <x:c r="G911" s="2" t="str">
        <x:v>SURFACE_MOUNT</x:v>
      </x:c>
      <x:c r="H911" s="2" t="str">
        <x:v>SELECTED_CONDITIONAL</x:v>
      </x:c>
      <x:c r="I911" s="2" t="str">
        <x:v>Не выпущено</x:v>
      </x:c>
      <x:c r="J911" s="31" t="str">
        <x:v>resistance_ohm: 0.01; tolerance_pct: 1; power_w: 3; power_reference_temperature_c: 70; technology: metal strip; terminals: 2; temperature_min_c: -65; temperature_max_c: 170; pulse_rating: Manufacturer pulse curve; repetitive pulse duty unqualified; derating: Use manufacturer power versus ambient/terminal temperature curve; PCB thermal and fault pulse envelope not qualified.</x:v>
      </x:c>
      <x:c r="K911" s="31" t="str">
        <x:v>https://www.vishay.com/docs/30122/wslp.pdf</x:v>
      </x:c>
      <x:c r="L911" s="31" t="str">
        <x:v>Repetitive pulse current, board heat flow and Kelvin routing require qualification.</x:v>
      </x:c>
    </x:row>
    <x:row r="912" ht="38" customHeight="1">
      <x:c r="A912" s="12" t="str">
        <x:v>R5508</x:v>
      </x:c>
      <x:c r="B912" s="12" t="str">
        <x:v>4.99k 1% 25ppm</x:v>
      </x:c>
      <x:c r="C912" s="12" t="str">
        <x:v>Да</x:v>
      </x:c>
      <x:c r="D912" s="11" t="str">
        <x:v>RNCF0603BTE4K99</x:v>
      </x:c>
      <x:c r="E912" s="12" t="str">
        <x:v>Stackpole Electronics</x:v>
      </x:c>
      <x:c r="F912" s="11" t="str">
        <x:v>0603</x:v>
      </x:c>
      <x:c r="G912" s="12" t="str">
        <x:v>SURFACE_MOUNT</x:v>
      </x:c>
      <x:c r="H912" s="12" t="str">
        <x:v>SELECTED_CATALOG_ITEM</x:v>
      </x:c>
      <x:c r="I912" s="12" t="str">
        <x:v>Не выпущено</x:v>
      </x:c>
      <x:c r="J912" s="33" t="str">
        <x:v>resistance_ohm: 4990;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912" s="33" t="str">
        <x:v>https://www.digikey.com/en/products/detail/stackpole-electronics-inc/RNCF0603BTE4K99/16890134; https://www.seielect.com/Catalog/SEI-RNCF.pdf</x:v>
      </x:c>
      <x:c r="L912" s="33" t="str"/>
    </x:row>
    <x:row r="913" ht="38" customHeight="1">
      <x:c r="A913" s="2" t="str">
        <x:v>R5520</x:v>
      </x:c>
      <x:c r="B913" s="2" t="str">
        <x:v>100k</x:v>
      </x:c>
      <x:c r="C913" s="2" t="str">
        <x:v>Да</x:v>
      </x:c>
      <x:c r="D913" s="8" t="str">
        <x:v>CRCW0603100KFKEA</x:v>
      </x:c>
      <x:c r="E913" s="2" t="str">
        <x:v>Vishay</x:v>
      </x:c>
      <x:c r="F913" s="8" t="str">
        <x:v>0603</x:v>
      </x:c>
      <x:c r="G913" s="2" t="str">
        <x:v>SURFACE_MOUNT</x:v>
      </x:c>
      <x:c r="H913" s="2" t="str">
        <x:v>SELECTED_FAMILY_CODE</x:v>
      </x:c>
      <x:c r="I913" s="2" t="str">
        <x:v>Не выпущено</x:v>
      </x:c>
      <x:c r="J913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13" s="31" t="str">
        <x:v>https://www.vishay.com/docs/20035/dcrcwe3.pdf</x:v>
      </x:c>
      <x:c r="L913" s="31" t="str"/>
    </x:row>
    <x:row r="914" ht="38" customHeight="1">
      <x:c r="A914" s="12" t="str">
        <x:v>R5521</x:v>
      </x:c>
      <x:c r="B914" s="12" t="str">
        <x:v>147k 1% 25ppm</x:v>
      </x:c>
      <x:c r="C914" s="12" t="str">
        <x:v>Да</x:v>
      </x:c>
      <x:c r="D914" s="11" t="str">
        <x:v>TNPW0603147KBEEA</x:v>
      </x:c>
      <x:c r="E914" s="12" t="str">
        <x:v>Vishay</x:v>
      </x:c>
      <x:c r="F914" s="11" t="str">
        <x:v>0603</x:v>
      </x:c>
      <x:c r="G914" s="12" t="str">
        <x:v>SURFACE_MOUNT</x:v>
      </x:c>
      <x:c r="H914" s="12" t="str">
        <x:v>SELECTED_CATALOG_ITEM</x:v>
      </x:c>
      <x:c r="I914" s="12" t="str">
        <x:v>Не выпущено</x:v>
      </x:c>
      <x:c r="J914" s="33" t="str">
        <x:v>resistance_ohm: 147000; tolerance_pct: 0.1; tcr_ppm_c: 25; power_w: 0.21; working_voltage_v: 75; temperature_min_c: -55; temperature_max_c: 175; technology: thin film; aec_q200: True; derating: Use manufacturer power versus ambient/terminal temperature curve; PCB thermal and fault pulse envelope not qualified.</x:v>
      </x:c>
      <x:c r="K914" s="33" t="str">
        <x:v>https://www.digikey.com/en/products/detail/vishay-dale/TNPW0603147KBEEA/1607012; https://www.vishay.com/docs/28758/tnpw_e3.pdf</x:v>
      </x:c>
      <x:c r="L914" s="33" t="str"/>
    </x:row>
    <x:row r="915" ht="38" customHeight="1">
      <x:c r="A915" s="2" t="str">
        <x:v>R5522</x:v>
      </x:c>
      <x:c r="B915" s="2" t="str">
        <x:v>100k 1%</x:v>
      </x:c>
      <x:c r="C915" s="2" t="str">
        <x:v>Да</x:v>
      </x:c>
      <x:c r="D915" s="8" t="str">
        <x:v>CRCW0603100KFKEA</x:v>
      </x:c>
      <x:c r="E915" s="2" t="str">
        <x:v>Vishay</x:v>
      </x:c>
      <x:c r="F915" s="8" t="str">
        <x:v>0603</x:v>
      </x:c>
      <x:c r="G915" s="2" t="str">
        <x:v>SURFACE_MOUNT</x:v>
      </x:c>
      <x:c r="H915" s="2" t="str">
        <x:v>SELECTED_FAMILY_CODE</x:v>
      </x:c>
      <x:c r="I915" s="2" t="str">
        <x:v>Не выпущено</x:v>
      </x:c>
      <x:c r="J915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15" s="31" t="str">
        <x:v>https://www.vishay.com/docs/20035/dcrcwe3.pdf</x:v>
      </x:c>
      <x:c r="L915" s="31" t="str"/>
    </x:row>
    <x:row r="916" ht="38" customHeight="1">
      <x:c r="A916" s="12" t="str">
        <x:v>R5523</x:v>
      </x:c>
      <x:c r="B916" s="12" t="str">
        <x:v>39.2k 1%</x:v>
      </x:c>
      <x:c r="C916" s="12" t="str">
        <x:v>Да</x:v>
      </x:c>
      <x:c r="D916" s="11" t="str">
        <x:v>CRCW060339K2FKEA</x:v>
      </x:c>
      <x:c r="E916" s="12" t="str">
        <x:v>Vishay</x:v>
      </x:c>
      <x:c r="F916" s="11" t="str">
        <x:v>0603</x:v>
      </x:c>
      <x:c r="G916" s="12" t="str">
        <x:v>SURFACE_MOUNT</x:v>
      </x:c>
      <x:c r="H916" s="12" t="str">
        <x:v>SELECTED_FAMILY_CODE</x:v>
      </x:c>
      <x:c r="I916" s="12" t="str">
        <x:v>Не выпущено</x:v>
      </x:c>
      <x:c r="J916" s="33" t="str">
        <x:v>resistance_ohm: 39200.0;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16" s="33" t="str">
        <x:v>https://www.vishay.com/docs/20035/dcrcwe3.pdf</x:v>
      </x:c>
      <x:c r="L916" s="33" t="str"/>
    </x:row>
    <x:row r="917" ht="38" customHeight="1">
      <x:c r="A917" s="2" t="str">
        <x:v>R5524</x:v>
      </x:c>
      <x:c r="B917" s="2" t="str">
        <x:v>100k</x:v>
      </x:c>
      <x:c r="C917" s="2" t="str">
        <x:v>Да</x:v>
      </x:c>
      <x:c r="D917" s="8" t="str">
        <x:v>CRCW0603100KFKEA</x:v>
      </x:c>
      <x:c r="E917" s="2" t="str">
        <x:v>Vishay</x:v>
      </x:c>
      <x:c r="F917" s="8" t="str">
        <x:v>0603</x:v>
      </x:c>
      <x:c r="G917" s="2" t="str">
        <x:v>SURFACE_MOUNT</x:v>
      </x:c>
      <x:c r="H917" s="2" t="str">
        <x:v>SELECTED_FAMILY_CODE</x:v>
      </x:c>
      <x:c r="I917" s="2" t="str">
        <x:v>Не выпущено</x:v>
      </x:c>
      <x:c r="J917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17" s="31" t="str">
        <x:v>https://www.vishay.com/docs/20035/dcrcwe3.pdf</x:v>
      </x:c>
      <x:c r="L917" s="31" t="str"/>
    </x:row>
    <x:row r="918" ht="38" customHeight="1">
      <x:c r="A918" s="12" t="str">
        <x:v>R5525</x:v>
      </x:c>
      <x:c r="B918" s="12" t="str">
        <x:v>10R</x:v>
      </x:c>
      <x:c r="C918" s="12" t="str">
        <x:v>Да</x:v>
      </x:c>
      <x:c r="D918" s="11" t="str">
        <x:v>CRCW060310R0FKEA</x:v>
      </x:c>
      <x:c r="E918" s="12" t="str">
        <x:v>Vishay</x:v>
      </x:c>
      <x:c r="F918" s="11" t="str">
        <x:v>0603</x:v>
      </x:c>
      <x:c r="G918" s="12" t="str">
        <x:v>SURFACE_MOUNT</x:v>
      </x:c>
      <x:c r="H918" s="12" t="str">
        <x:v>SELECTED_FAMILY_CODE</x:v>
      </x:c>
      <x:c r="I918" s="12" t="str">
        <x:v>Не выпущено</x:v>
      </x:c>
      <x:c r="J918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18" s="33" t="str">
        <x:v>https://www.vishay.com/docs/20035/dcrcwe3.pdf</x:v>
      </x:c>
      <x:c r="L918" s="33" t="str"/>
    </x:row>
    <x:row r="919" ht="38" customHeight="1">
      <x:c r="A919" s="2" t="str">
        <x:v>R5526</x:v>
      </x:c>
      <x:c r="B919" s="2" t="str">
        <x:v>10k</x:v>
      </x:c>
      <x:c r="C919" s="2" t="str">
        <x:v>Да</x:v>
      </x:c>
      <x:c r="D919" s="8" t="str">
        <x:v>CRCW060310K0FKEA</x:v>
      </x:c>
      <x:c r="E919" s="2" t="str">
        <x:v>Vishay</x:v>
      </x:c>
      <x:c r="F919" s="8" t="str">
        <x:v>0603</x:v>
      </x:c>
      <x:c r="G919" s="2" t="str">
        <x:v>SURFACE_MOUNT</x:v>
      </x:c>
      <x:c r="H919" s="2" t="str">
        <x:v>SELECTED_FAMILY_CODE</x:v>
      </x:c>
      <x:c r="I919" s="2" t="str">
        <x:v>Не выпущено</x:v>
      </x:c>
      <x:c r="J91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19" s="31" t="str">
        <x:v>https://www.vishay.com/docs/20035/dcrcwe3.pdf</x:v>
      </x:c>
      <x:c r="L919" s="31" t="str"/>
    </x:row>
    <x:row r="920" ht="38" customHeight="1">
      <x:c r="A920" s="12" t="str">
        <x:v>R5527</x:v>
      </x:c>
      <x:c r="B920" s="12" t="str">
        <x:v>WSLP2512R0100FEA</x:v>
      </x:c>
      <x:c r="C920" s="12" t="str">
        <x:v>Да</x:v>
      </x:c>
      <x:c r="D920" s="11" t="str">
        <x:v>WSLP2512R0100FEA</x:v>
      </x:c>
      <x:c r="E920" s="12" t="str">
        <x:v>Vishay</x:v>
      </x:c>
      <x:c r="F920" s="11" t="str">
        <x:v>2512</x:v>
      </x:c>
      <x:c r="G920" s="12" t="str">
        <x:v>SURFACE_MOUNT</x:v>
      </x:c>
      <x:c r="H920" s="12" t="str">
        <x:v>SELECTED_CONDITIONAL</x:v>
      </x:c>
      <x:c r="I920" s="12" t="str">
        <x:v>Не выпущено</x:v>
      </x:c>
      <x:c r="J920" s="33" t="str">
        <x:v>resistance_ohm: 0.01; tolerance_pct: 1; power_w: 3; power_reference_temperature_c: 70; technology: metal strip; terminals: 2; temperature_min_c: -65; temperature_max_c: 170; pulse_rating: Manufacturer pulse curve; repetitive pulse duty unqualified; derating: Use manufacturer power versus ambient/terminal temperature curve; PCB thermal and fault pulse envelope not qualified.</x:v>
      </x:c>
      <x:c r="K920" s="33" t="str">
        <x:v>https://www.vishay.com/docs/30122/wslp.pdf</x:v>
      </x:c>
      <x:c r="L920" s="33" t="str">
        <x:v>Repetitive pulse current, board heat flow and Kelvin routing require qualification.</x:v>
      </x:c>
    </x:row>
    <x:row r="921" ht="38" customHeight="1">
      <x:c r="A921" s="2" t="str">
        <x:v>R5528</x:v>
      </x:c>
      <x:c r="B921" s="2" t="str">
        <x:v>4.99k 1% 25ppm</x:v>
      </x:c>
      <x:c r="C921" s="2" t="str">
        <x:v>Да</x:v>
      </x:c>
      <x:c r="D921" s="8" t="str">
        <x:v>RNCF0603BTE4K99</x:v>
      </x:c>
      <x:c r="E921" s="2" t="str">
        <x:v>Stackpole Electronics</x:v>
      </x:c>
      <x:c r="F921" s="8" t="str">
        <x:v>0603</x:v>
      </x:c>
      <x:c r="G921" s="2" t="str">
        <x:v>SURFACE_MOUNT</x:v>
      </x:c>
      <x:c r="H921" s="2" t="str">
        <x:v>SELECTED_CATALOG_ITEM</x:v>
      </x:c>
      <x:c r="I921" s="2" t="str">
        <x:v>Не выпущено</x:v>
      </x:c>
      <x:c r="J921" s="31" t="str">
        <x:v>resistance_ohm: 4990;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921" s="31" t="str">
        <x:v>https://www.digikey.com/en/products/detail/stackpole-electronics-inc/RNCF0603BTE4K99/16890134; https://www.seielect.com/Catalog/SEI-RNCF.pdf</x:v>
      </x:c>
      <x:c r="L921" s="31" t="str"/>
    </x:row>
    <x:row r="922" ht="38" customHeight="1">
      <x:c r="A922" s="12" t="str">
        <x:v>R5600</x:v>
      </x:c>
      <x:c r="B922" s="12" t="str">
        <x:v>1k</x:v>
      </x:c>
      <x:c r="C922" s="12" t="str">
        <x:v>Да</x:v>
      </x:c>
      <x:c r="D922" s="11" t="str">
        <x:v>CRCW06031K00FKEA</x:v>
      </x:c>
      <x:c r="E922" s="12" t="str">
        <x:v>Vishay</x:v>
      </x:c>
      <x:c r="F922" s="11" t="str">
        <x:v>0603</x:v>
      </x:c>
      <x:c r="G922" s="12" t="str">
        <x:v>SURFACE_MOUNT</x:v>
      </x:c>
      <x:c r="H922" s="12" t="str">
        <x:v>SELECTED_FAMILY_CODE</x:v>
      </x:c>
      <x:c r="I922" s="12" t="str">
        <x:v>Не выпущено</x:v>
      </x:c>
      <x:c r="J922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22" s="33" t="str">
        <x:v>https://www.vishay.com/docs/20035/dcrcwe3.pdf</x:v>
      </x:c>
      <x:c r="L922" s="33" t="str"/>
    </x:row>
    <x:row r="923" ht="38" customHeight="1">
      <x:c r="A923" s="2" t="str">
        <x:v>R5601</x:v>
      </x:c>
      <x:c r="B923" s="2" t="str">
        <x:v>1k</x:v>
      </x:c>
      <x:c r="C923" s="2" t="str">
        <x:v>Да</x:v>
      </x:c>
      <x:c r="D923" s="8" t="str">
        <x:v>CRCW06031K00FKEA</x:v>
      </x:c>
      <x:c r="E923" s="2" t="str">
        <x:v>Vishay</x:v>
      </x:c>
      <x:c r="F923" s="8" t="str">
        <x:v>0603</x:v>
      </x:c>
      <x:c r="G923" s="2" t="str">
        <x:v>SURFACE_MOUNT</x:v>
      </x:c>
      <x:c r="H923" s="2" t="str">
        <x:v>SELECTED_FAMILY_CODE</x:v>
      </x:c>
      <x:c r="I923" s="2" t="str">
        <x:v>Не выпущено</x:v>
      </x:c>
      <x:c r="J923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23" s="31" t="str">
        <x:v>https://www.vishay.com/docs/20035/dcrcwe3.pdf</x:v>
      </x:c>
      <x:c r="L923" s="31" t="str"/>
    </x:row>
    <x:row r="924" ht="38" customHeight="1">
      <x:c r="A924" s="12" t="str">
        <x:v>R5602</x:v>
      </x:c>
      <x:c r="B924" s="12" t="str">
        <x:v>68k</x:v>
      </x:c>
      <x:c r="C924" s="12" t="str">
        <x:v>Да</x:v>
      </x:c>
      <x:c r="D924" s="11" t="str">
        <x:v>CRCW060368K0FKEA</x:v>
      </x:c>
      <x:c r="E924" s="12" t="str">
        <x:v>Vishay</x:v>
      </x:c>
      <x:c r="F924" s="11" t="str">
        <x:v>0603</x:v>
      </x:c>
      <x:c r="G924" s="12" t="str">
        <x:v>SURFACE_MOUNT</x:v>
      </x:c>
      <x:c r="H924" s="12" t="str">
        <x:v>SELECTED_FAMILY_CODE</x:v>
      </x:c>
      <x:c r="I924" s="12" t="str">
        <x:v>Не выпущено</x:v>
      </x:c>
      <x:c r="J924" s="33" t="str">
        <x:v>resistance_ohm: 68000.0;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24" s="33" t="str">
        <x:v>https://www.vishay.com/docs/20035/dcrcwe3.pdf</x:v>
      </x:c>
      <x:c r="L924" s="33" t="str"/>
    </x:row>
    <x:row r="925" ht="38" customHeight="1">
      <x:c r="A925" s="2" t="str">
        <x:v>R5603</x:v>
      </x:c>
      <x:c r="B925" s="2" t="str">
        <x:v>68k</x:v>
      </x:c>
      <x:c r="C925" s="2" t="str">
        <x:v>Да</x:v>
      </x:c>
      <x:c r="D925" s="8" t="str">
        <x:v>CRCW060368K0FKEA</x:v>
      </x:c>
      <x:c r="E925" s="2" t="str">
        <x:v>Vishay</x:v>
      </x:c>
      <x:c r="F925" s="8" t="str">
        <x:v>0603</x:v>
      </x:c>
      <x:c r="G925" s="2" t="str">
        <x:v>SURFACE_MOUNT</x:v>
      </x:c>
      <x:c r="H925" s="2" t="str">
        <x:v>SELECTED_FAMILY_CODE</x:v>
      </x:c>
      <x:c r="I925" s="2" t="str">
        <x:v>Не выпущено</x:v>
      </x:c>
      <x:c r="J925" s="31" t="str">
        <x:v>resistance_ohm: 68000.0;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25" s="31" t="str">
        <x:v>https://www.vishay.com/docs/20035/dcrcwe3.pdf</x:v>
      </x:c>
      <x:c r="L925" s="31" t="str"/>
    </x:row>
    <x:row r="926" ht="38" customHeight="1">
      <x:c r="A926" s="12" t="str">
        <x:v>R5604</x:v>
      </x:c>
      <x:c r="B926" s="12" t="str">
        <x:v>10k</x:v>
      </x:c>
      <x:c r="C926" s="12" t="str">
        <x:v>Да</x:v>
      </x:c>
      <x:c r="D926" s="11" t="str">
        <x:v>CRCW060310K0FKEA</x:v>
      </x:c>
      <x:c r="E926" s="12" t="str">
        <x:v>Vishay</x:v>
      </x:c>
      <x:c r="F926" s="11" t="str">
        <x:v>0603</x:v>
      </x:c>
      <x:c r="G926" s="12" t="str">
        <x:v>SURFACE_MOUNT</x:v>
      </x:c>
      <x:c r="H926" s="12" t="str">
        <x:v>SELECTED_FAMILY_CODE</x:v>
      </x:c>
      <x:c r="I926" s="12" t="str">
        <x:v>Не выпущено</x:v>
      </x:c>
      <x:c r="J92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26" s="33" t="str">
        <x:v>https://www.vishay.com/docs/20035/dcrcwe3.pdf</x:v>
      </x:c>
      <x:c r="L926" s="33" t="str"/>
    </x:row>
    <x:row r="927" ht="38" customHeight="1">
      <x:c r="A927" s="2" t="str">
        <x:v>R5605</x:v>
      </x:c>
      <x:c r="B927" s="2" t="str">
        <x:v>10k</x:v>
      </x:c>
      <x:c r="C927" s="2" t="str">
        <x:v>Да</x:v>
      </x:c>
      <x:c r="D927" s="8" t="str">
        <x:v>CRCW060310K0FKEA</x:v>
      </x:c>
      <x:c r="E927" s="2" t="str">
        <x:v>Vishay</x:v>
      </x:c>
      <x:c r="F927" s="8" t="str">
        <x:v>0603</x:v>
      </x:c>
      <x:c r="G927" s="2" t="str">
        <x:v>SURFACE_MOUNT</x:v>
      </x:c>
      <x:c r="H927" s="2" t="str">
        <x:v>SELECTED_FAMILY_CODE</x:v>
      </x:c>
      <x:c r="I927" s="2" t="str">
        <x:v>Не выпущено</x:v>
      </x:c>
      <x:c r="J92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27" s="31" t="str">
        <x:v>https://www.vishay.com/docs/20035/dcrcwe3.pdf</x:v>
      </x:c>
      <x:c r="L927" s="31" t="str"/>
    </x:row>
    <x:row r="928" ht="38" customHeight="1">
      <x:c r="A928" s="12" t="str">
        <x:v>R5606</x:v>
      </x:c>
      <x:c r="B928" s="12" t="str">
        <x:v>10</x:v>
      </x:c>
      <x:c r="C928" s="12" t="str">
        <x:v>Да</x:v>
      </x:c>
      <x:c r="D928" s="11" t="str">
        <x:v>CRCW060310R0FKEA</x:v>
      </x:c>
      <x:c r="E928" s="12" t="str">
        <x:v>Vishay</x:v>
      </x:c>
      <x:c r="F928" s="11" t="str">
        <x:v>0603</x:v>
      </x:c>
      <x:c r="G928" s="12" t="str">
        <x:v>SURFACE_MOUNT</x:v>
      </x:c>
      <x:c r="H928" s="12" t="str">
        <x:v>SELECTED_FAMILY_CODE</x:v>
      </x:c>
      <x:c r="I928" s="12" t="str">
        <x:v>Не выпущено</x:v>
      </x:c>
      <x:c r="J928" s="33" t="str">
        <x:v>resistance_ohm: 10.0;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28" s="33" t="str">
        <x:v>https://www.vishay.com/docs/20035/dcrcwe3.pdf</x:v>
      </x:c>
      <x:c r="L928" s="33" t="str"/>
    </x:row>
    <x:row r="929" ht="38" customHeight="1">
      <x:c r="A929" s="2" t="str">
        <x:v>R5607</x:v>
      </x:c>
      <x:c r="B929" s="2" t="str">
        <x:v>22k</x:v>
      </x:c>
      <x:c r="C929" s="2" t="str">
        <x:v>Да</x:v>
      </x:c>
      <x:c r="D929" s="8" t="str">
        <x:v>CRCW060322K0FKEA</x:v>
      </x:c>
      <x:c r="E929" s="2" t="str">
        <x:v>Vishay</x:v>
      </x:c>
      <x:c r="F929" s="8" t="str">
        <x:v>0603</x:v>
      </x:c>
      <x:c r="G929" s="2" t="str">
        <x:v>SURFACE_MOUNT</x:v>
      </x:c>
      <x:c r="H929" s="2" t="str">
        <x:v>SELECTED_FAMILY_CODE</x:v>
      </x:c>
      <x:c r="I929" s="2" t="str">
        <x:v>Не выпущено</x:v>
      </x:c>
      <x:c r="J929" s="31" t="str">
        <x:v>resistance_ohm: 22000.0;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29" s="31" t="str">
        <x:v>https://www.vishay.com/docs/20035/dcrcwe3.pdf</x:v>
      </x:c>
      <x:c r="L929" s="31" t="str"/>
    </x:row>
    <x:row r="930" ht="38" customHeight="1">
      <x:c r="A930" s="12" t="str">
        <x:v>R5608</x:v>
      </x:c>
      <x:c r="B930" s="12" t="str">
        <x:v>47</x:v>
      </x:c>
      <x:c r="C930" s="12" t="str">
        <x:v>Да</x:v>
      </x:c>
      <x:c r="D930" s="11" t="str">
        <x:v>CRCW060347R0FKEA</x:v>
      </x:c>
      <x:c r="E930" s="12" t="str">
        <x:v>Vishay</x:v>
      </x:c>
      <x:c r="F930" s="11" t="str">
        <x:v>0603</x:v>
      </x:c>
      <x:c r="G930" s="12" t="str">
        <x:v>SURFACE_MOUNT</x:v>
      </x:c>
      <x:c r="H930" s="12" t="str">
        <x:v>SELECTED_FAMILY_CODE</x:v>
      </x:c>
      <x:c r="I930" s="12" t="str">
        <x:v>Не выпущено</x:v>
      </x:c>
      <x:c r="J930" s="33" t="str">
        <x:v>resistance_ohm: 47.0;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30" s="33" t="str">
        <x:v>https://www.vishay.com/docs/20035/dcrcwe3.pdf</x:v>
      </x:c>
      <x:c r="L930" s="33" t="str"/>
    </x:row>
    <x:row r="931" ht="38" customHeight="1">
      <x:c r="A931" s="2" t="str">
        <x:v>R5609</x:v>
      </x:c>
      <x:c r="B931" s="2" t="str">
        <x:v>61.9</x:v>
      </x:c>
      <x:c r="C931" s="2" t="str">
        <x:v>Да</x:v>
      </x:c>
      <x:c r="D931" s="8" t="str">
        <x:v>CRCW060361R9FKEA</x:v>
      </x:c>
      <x:c r="E931" s="2" t="str">
        <x:v>Vishay</x:v>
      </x:c>
      <x:c r="F931" s="8" t="str">
        <x:v>0603</x:v>
      </x:c>
      <x:c r="G931" s="2" t="str">
        <x:v>SURFACE_MOUNT</x:v>
      </x:c>
      <x:c r="H931" s="2" t="str">
        <x:v>SELECTED_FAMILY_CODE</x:v>
      </x:c>
      <x:c r="I931" s="2" t="str">
        <x:v>Не выпущено</x:v>
      </x:c>
      <x:c r="J931" s="31" t="str">
        <x:v>resistance_ohm: 61.9;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31" s="31" t="str">
        <x:v>https://www.vishay.com/docs/20035/dcrcwe3.pdf</x:v>
      </x:c>
      <x:c r="L931" s="31" t="str"/>
    </x:row>
    <x:row r="932" ht="38" customHeight="1">
      <x:c r="A932" s="12" t="str">
        <x:v>R5610</x:v>
      </x:c>
      <x:c r="B932" s="12" t="str">
        <x:v>20k</x:v>
      </x:c>
      <x:c r="C932" s="12" t="str">
        <x:v>Да</x:v>
      </x:c>
      <x:c r="D932" s="11" t="str">
        <x:v>CRCW060320K0FKEA</x:v>
      </x:c>
      <x:c r="E932" s="12" t="str">
        <x:v>Vishay</x:v>
      </x:c>
      <x:c r="F932" s="11" t="str">
        <x:v>0603</x:v>
      </x:c>
      <x:c r="G932" s="12" t="str">
        <x:v>SURFACE_MOUNT</x:v>
      </x:c>
      <x:c r="H932" s="12" t="str">
        <x:v>SELECTED_FAMILY_CODE</x:v>
      </x:c>
      <x:c r="I932" s="12" t="str">
        <x:v>Не выпущено</x:v>
      </x:c>
      <x:c r="J932" s="33" t="str">
        <x:v>resistance_ohm: 20000.0;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32" s="33" t="str">
        <x:v>https://www.vishay.com/docs/20035/dcrcwe3.pdf</x:v>
      </x:c>
      <x:c r="L932" s="33" t="str"/>
    </x:row>
    <x:row r="933" ht="38" customHeight="1">
      <x:c r="A933" s="2" t="str">
        <x:v>R5611</x:v>
      </x:c>
      <x:c r="B933" s="2" t="str">
        <x:v>20k</x:v>
      </x:c>
      <x:c r="C933" s="2" t="str">
        <x:v>Да</x:v>
      </x:c>
      <x:c r="D933" s="8" t="str">
        <x:v>CRCW060320K0FKEA</x:v>
      </x:c>
      <x:c r="E933" s="2" t="str">
        <x:v>Vishay</x:v>
      </x:c>
      <x:c r="F933" s="8" t="str">
        <x:v>0603</x:v>
      </x:c>
      <x:c r="G933" s="2" t="str">
        <x:v>SURFACE_MOUNT</x:v>
      </x:c>
      <x:c r="H933" s="2" t="str">
        <x:v>SELECTED_FAMILY_CODE</x:v>
      </x:c>
      <x:c r="I933" s="2" t="str">
        <x:v>Не выпущено</x:v>
      </x:c>
      <x:c r="J933" s="31" t="str">
        <x:v>resistance_ohm: 20000.0;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33" s="31" t="str">
        <x:v>https://www.vishay.com/docs/20035/dcrcwe3.pdf</x:v>
      </x:c>
      <x:c r="L933" s="31" t="str"/>
    </x:row>
    <x:row r="934" ht="38" customHeight="1">
      <x:c r="A934" s="12" t="str">
        <x:v>R5612</x:v>
      </x:c>
      <x:c r="B934" s="12" t="str">
        <x:v>20k</x:v>
      </x:c>
      <x:c r="C934" s="12" t="str">
        <x:v>Да</x:v>
      </x:c>
      <x:c r="D934" s="11" t="str">
        <x:v>CRCW060320K0FKEA</x:v>
      </x:c>
      <x:c r="E934" s="12" t="str">
        <x:v>Vishay</x:v>
      </x:c>
      <x:c r="F934" s="11" t="str">
        <x:v>0603</x:v>
      </x:c>
      <x:c r="G934" s="12" t="str">
        <x:v>SURFACE_MOUNT</x:v>
      </x:c>
      <x:c r="H934" s="12" t="str">
        <x:v>SELECTED_FAMILY_CODE</x:v>
      </x:c>
      <x:c r="I934" s="12" t="str">
        <x:v>Не выпущено</x:v>
      </x:c>
      <x:c r="J934" s="33" t="str">
        <x:v>resistance_ohm: 20000.0;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34" s="33" t="str">
        <x:v>https://www.vishay.com/docs/20035/dcrcwe3.pdf</x:v>
      </x:c>
      <x:c r="L934" s="33" t="str"/>
    </x:row>
    <x:row r="935" ht="38" customHeight="1">
      <x:c r="A935" s="2" t="str">
        <x:v>R5613</x:v>
      </x:c>
      <x:c r="B935" s="2" t="str">
        <x:v>10k</x:v>
      </x:c>
      <x:c r="C935" s="2" t="str">
        <x:v>Да</x:v>
      </x:c>
      <x:c r="D935" s="8" t="str">
        <x:v>CRCW060310K0FKEA</x:v>
      </x:c>
      <x:c r="E935" s="2" t="str">
        <x:v>Vishay</x:v>
      </x:c>
      <x:c r="F935" s="8" t="str">
        <x:v>0603</x:v>
      </x:c>
      <x:c r="G935" s="2" t="str">
        <x:v>SURFACE_MOUNT</x:v>
      </x:c>
      <x:c r="H935" s="2" t="str">
        <x:v>SELECTED_FAMILY_CODE</x:v>
      </x:c>
      <x:c r="I935" s="2" t="str">
        <x:v>Не выпущено</x:v>
      </x:c>
      <x:c r="J93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35" s="31" t="str">
        <x:v>https://www.vishay.com/docs/20035/dcrcwe3.pdf</x:v>
      </x:c>
      <x:c r="L935" s="31" t="str"/>
    </x:row>
    <x:row r="936" ht="38" customHeight="1">
      <x:c r="A936" s="12" t="str">
        <x:v>R5614</x:v>
      </x:c>
      <x:c r="B936" s="12" t="str">
        <x:v>10k</x:v>
      </x:c>
      <x:c r="C936" s="12" t="str">
        <x:v>Да</x:v>
      </x:c>
      <x:c r="D936" s="11" t="str">
        <x:v>CRCW060310K0FKEA</x:v>
      </x:c>
      <x:c r="E936" s="12" t="str">
        <x:v>Vishay</x:v>
      </x:c>
      <x:c r="F936" s="11" t="str">
        <x:v>0603</x:v>
      </x:c>
      <x:c r="G936" s="12" t="str">
        <x:v>SURFACE_MOUNT</x:v>
      </x:c>
      <x:c r="H936" s="12" t="str">
        <x:v>SELECTED_FAMILY_CODE</x:v>
      </x:c>
      <x:c r="I936" s="12" t="str">
        <x:v>Не выпущено</x:v>
      </x:c>
      <x:c r="J93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36" s="33" t="str">
        <x:v>https://www.vishay.com/docs/20035/dcrcwe3.pdf</x:v>
      </x:c>
      <x:c r="L936" s="33" t="str"/>
    </x:row>
    <x:row r="937" ht="38" customHeight="1">
      <x:c r="A937" s="2" t="str">
        <x:v>R5615</x:v>
      </x:c>
      <x:c r="B937" s="2" t="str">
        <x:v>100k</x:v>
      </x:c>
      <x:c r="C937" s="2" t="str">
        <x:v>Да</x:v>
      </x:c>
      <x:c r="D937" s="8" t="str">
        <x:v>CRCW0603100KFKEA</x:v>
      </x:c>
      <x:c r="E937" s="2" t="str">
        <x:v>Vishay</x:v>
      </x:c>
      <x:c r="F937" s="8" t="str">
        <x:v>0603</x:v>
      </x:c>
      <x:c r="G937" s="2" t="str">
        <x:v>SURFACE_MOUNT</x:v>
      </x:c>
      <x:c r="H937" s="2" t="str">
        <x:v>SELECTED_FAMILY_CODE</x:v>
      </x:c>
      <x:c r="I937" s="2" t="str">
        <x:v>Не выпущено</x:v>
      </x:c>
      <x:c r="J937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37" s="31" t="str">
        <x:v>https://www.vishay.com/docs/20035/dcrcwe3.pdf</x:v>
      </x:c>
      <x:c r="L937" s="31" t="str"/>
    </x:row>
    <x:row r="938" ht="38" customHeight="1">
      <x:c r="A938" s="12" t="str">
        <x:v>R5616</x:v>
      </x:c>
      <x:c r="B938" s="12" t="str">
        <x:v>1k</x:v>
      </x:c>
      <x:c r="C938" s="12" t="str">
        <x:v>Да</x:v>
      </x:c>
      <x:c r="D938" s="11" t="str">
        <x:v>CRCW06031K00FKEA</x:v>
      </x:c>
      <x:c r="E938" s="12" t="str">
        <x:v>Vishay</x:v>
      </x:c>
      <x:c r="F938" s="11" t="str">
        <x:v>0603</x:v>
      </x:c>
      <x:c r="G938" s="12" t="str">
        <x:v>SURFACE_MOUNT</x:v>
      </x:c>
      <x:c r="H938" s="12" t="str">
        <x:v>SELECTED_FAMILY_CODE</x:v>
      </x:c>
      <x:c r="I938" s="12" t="str">
        <x:v>Не выпущено</x:v>
      </x:c>
      <x:c r="J938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38" s="33" t="str">
        <x:v>https://www.vishay.com/docs/20035/dcrcwe3.pdf</x:v>
      </x:c>
      <x:c r="L938" s="33" t="str"/>
    </x:row>
    <x:row r="939" ht="38" customHeight="1">
      <x:c r="A939" s="2" t="str">
        <x:v>R5617</x:v>
      </x:c>
      <x:c r="B939" s="2" t="str">
        <x:v>1k</x:v>
      </x:c>
      <x:c r="C939" s="2" t="str">
        <x:v>Да</x:v>
      </x:c>
      <x:c r="D939" s="8" t="str">
        <x:v>CRCW06031K00FKEA</x:v>
      </x:c>
      <x:c r="E939" s="2" t="str">
        <x:v>Vishay</x:v>
      </x:c>
      <x:c r="F939" s="8" t="str">
        <x:v>0603</x:v>
      </x:c>
      <x:c r="G939" s="2" t="str">
        <x:v>SURFACE_MOUNT</x:v>
      </x:c>
      <x:c r="H939" s="2" t="str">
        <x:v>SELECTED_FAMILY_CODE</x:v>
      </x:c>
      <x:c r="I939" s="2" t="str">
        <x:v>Не выпущено</x:v>
      </x:c>
      <x:c r="J939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39" s="31" t="str">
        <x:v>https://www.vishay.com/docs/20035/dcrcwe3.pdf</x:v>
      </x:c>
      <x:c r="L939" s="31" t="str"/>
    </x:row>
    <x:row r="940" ht="38" customHeight="1">
      <x:c r="A940" s="12" t="str">
        <x:v>R5618</x:v>
      </x:c>
      <x:c r="B940" s="12" t="str">
        <x:v>10k</x:v>
      </x:c>
      <x:c r="C940" s="12" t="str">
        <x:v>Да</x:v>
      </x:c>
      <x:c r="D940" s="11" t="str">
        <x:v>CRCW060310K0FKEA</x:v>
      </x:c>
      <x:c r="E940" s="12" t="str">
        <x:v>Vishay</x:v>
      </x:c>
      <x:c r="F940" s="11" t="str">
        <x:v>0603</x:v>
      </x:c>
      <x:c r="G940" s="12" t="str">
        <x:v>SURFACE_MOUNT</x:v>
      </x:c>
      <x:c r="H940" s="12" t="str">
        <x:v>SELECTED_FAMILY_CODE</x:v>
      </x:c>
      <x:c r="I940" s="12" t="str">
        <x:v>Не выпущено</x:v>
      </x:c>
      <x:c r="J94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40" s="33" t="str">
        <x:v>https://www.vishay.com/docs/20035/dcrcwe3.pdf</x:v>
      </x:c>
      <x:c r="L940" s="33" t="str"/>
    </x:row>
    <x:row r="941" ht="38" customHeight="1">
      <x:c r="A941" s="2" t="str">
        <x:v>R5619</x:v>
      </x:c>
      <x:c r="B941" s="2" t="str">
        <x:v>10k</x:v>
      </x:c>
      <x:c r="C941" s="2" t="str">
        <x:v>Да</x:v>
      </x:c>
      <x:c r="D941" s="8" t="str">
        <x:v>CRCW060310K0FKEA</x:v>
      </x:c>
      <x:c r="E941" s="2" t="str">
        <x:v>Vishay</x:v>
      </x:c>
      <x:c r="F941" s="8" t="str">
        <x:v>0603</x:v>
      </x:c>
      <x:c r="G941" s="2" t="str">
        <x:v>SURFACE_MOUNT</x:v>
      </x:c>
      <x:c r="H941" s="2" t="str">
        <x:v>SELECTED_FAMILY_CODE</x:v>
      </x:c>
      <x:c r="I941" s="2" t="str">
        <x:v>Не выпущено</x:v>
      </x:c>
      <x:c r="J941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41" s="31" t="str">
        <x:v>https://www.vishay.com/docs/20035/dcrcwe3.pdf</x:v>
      </x:c>
      <x:c r="L941" s="31" t="str"/>
    </x:row>
    <x:row r="942" ht="38" customHeight="1">
      <x:c r="A942" s="12" t="str">
        <x:v>R5620</x:v>
      </x:c>
      <x:c r="B942" s="12" t="str">
        <x:v>27k</x:v>
      </x:c>
      <x:c r="C942" s="12" t="str">
        <x:v>Да</x:v>
      </x:c>
      <x:c r="D942" s="11" t="str">
        <x:v>CRCW060327K0FKEA</x:v>
      </x:c>
      <x:c r="E942" s="12" t="str">
        <x:v>Vishay</x:v>
      </x:c>
      <x:c r="F942" s="11" t="str">
        <x:v>0603</x:v>
      </x:c>
      <x:c r="G942" s="12" t="str">
        <x:v>SURFACE_MOUNT</x:v>
      </x:c>
      <x:c r="H942" s="12" t="str">
        <x:v>SELECTED_FAMILY_CODE</x:v>
      </x:c>
      <x:c r="I942" s="12" t="str">
        <x:v>Не выпущено</x:v>
      </x:c>
      <x:c r="J942" s="33" t="str">
        <x:v>resistance_ohm: 27000.0;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42" s="33" t="str">
        <x:v>https://www.vishay.com/docs/20035/dcrcwe3.pdf</x:v>
      </x:c>
      <x:c r="L942" s="33" t="str"/>
    </x:row>
    <x:row r="943" ht="38" customHeight="1">
      <x:c r="A943" s="2" t="str">
        <x:v>R5621</x:v>
      </x:c>
      <x:c r="B943" s="2" t="str">
        <x:v>100k</x:v>
      </x:c>
      <x:c r="C943" s="2" t="str">
        <x:v>Да</x:v>
      </x:c>
      <x:c r="D943" s="8" t="str">
        <x:v>CRCW0603100KFKEA</x:v>
      </x:c>
      <x:c r="E943" s="2" t="str">
        <x:v>Vishay</x:v>
      </x:c>
      <x:c r="F943" s="8" t="str">
        <x:v>0603</x:v>
      </x:c>
      <x:c r="G943" s="2" t="str">
        <x:v>SURFACE_MOUNT</x:v>
      </x:c>
      <x:c r="H943" s="2" t="str">
        <x:v>SELECTED_FAMILY_CODE</x:v>
      </x:c>
      <x:c r="I943" s="2" t="str">
        <x:v>Не выпущено</x:v>
      </x:c>
      <x:c r="J943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43" s="31" t="str">
        <x:v>https://www.vishay.com/docs/20035/dcrcwe3.pdf</x:v>
      </x:c>
      <x:c r="L943" s="31" t="str"/>
    </x:row>
    <x:row r="944" ht="38" customHeight="1">
      <x:c r="A944" s="12" t="str">
        <x:v>R5622</x:v>
      </x:c>
      <x:c r="B944" s="12" t="str">
        <x:v>1k</x:v>
      </x:c>
      <x:c r="C944" s="12" t="str">
        <x:v>Да</x:v>
      </x:c>
      <x:c r="D944" s="11" t="str">
        <x:v>CRCW06031K00FKEA</x:v>
      </x:c>
      <x:c r="E944" s="12" t="str">
        <x:v>Vishay</x:v>
      </x:c>
      <x:c r="F944" s="11" t="str">
        <x:v>0603</x:v>
      </x:c>
      <x:c r="G944" s="12" t="str">
        <x:v>SURFACE_MOUNT</x:v>
      </x:c>
      <x:c r="H944" s="12" t="str">
        <x:v>SELECTED_FAMILY_CODE</x:v>
      </x:c>
      <x:c r="I944" s="12" t="str">
        <x:v>Не выпущено</x:v>
      </x:c>
      <x:c r="J944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44" s="33" t="str">
        <x:v>https://www.vishay.com/docs/20035/dcrcwe3.pdf</x:v>
      </x:c>
      <x:c r="L944" s="33" t="str"/>
    </x:row>
    <x:row r="945" ht="38" customHeight="1">
      <x:c r="A945" s="2" t="str">
        <x:v>R5623</x:v>
      </x:c>
      <x:c r="B945" s="2" t="str">
        <x:v>27k</x:v>
      </x:c>
      <x:c r="C945" s="2" t="str">
        <x:v>Да</x:v>
      </x:c>
      <x:c r="D945" s="8" t="str">
        <x:v>CRCW060327K0FKEA</x:v>
      </x:c>
      <x:c r="E945" s="2" t="str">
        <x:v>Vishay</x:v>
      </x:c>
      <x:c r="F945" s="8" t="str">
        <x:v>0603</x:v>
      </x:c>
      <x:c r="G945" s="2" t="str">
        <x:v>SURFACE_MOUNT</x:v>
      </x:c>
      <x:c r="H945" s="2" t="str">
        <x:v>SELECTED_FAMILY_CODE</x:v>
      </x:c>
      <x:c r="I945" s="2" t="str">
        <x:v>Не выпущено</x:v>
      </x:c>
      <x:c r="J945" s="31" t="str">
        <x:v>resistance_ohm: 27000.0;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45" s="31" t="str">
        <x:v>https://www.vishay.com/docs/20035/dcrcwe3.pdf</x:v>
      </x:c>
      <x:c r="L945" s="31" t="str"/>
    </x:row>
    <x:row r="946" ht="38" customHeight="1">
      <x:c r="A946" s="12" t="str">
        <x:v>R5624</x:v>
      </x:c>
      <x:c r="B946" s="12" t="str">
        <x:v>3.3k</x:v>
      </x:c>
      <x:c r="C946" s="12" t="str">
        <x:v>Да</x:v>
      </x:c>
      <x:c r="D946" s="11" t="str">
        <x:v>CRCW06033K30FKEA</x:v>
      </x:c>
      <x:c r="E946" s="12" t="str">
        <x:v>Vishay</x:v>
      </x:c>
      <x:c r="F946" s="11" t="str">
        <x:v>0603</x:v>
      </x:c>
      <x:c r="G946" s="12" t="str">
        <x:v>SURFACE_MOUNT</x:v>
      </x:c>
      <x:c r="H946" s="12" t="str">
        <x:v>SELECTED_FAMILY_CODE</x:v>
      </x:c>
      <x:c r="I946" s="12" t="str">
        <x:v>Не выпущено</x:v>
      </x:c>
      <x:c r="J946" s="33" t="str">
        <x:v>resistance_ohm: 3300.0;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46" s="33" t="str">
        <x:v>https://www.vishay.com/docs/20035/dcrcwe3.pdf</x:v>
      </x:c>
      <x:c r="L946" s="33" t="str"/>
    </x:row>
    <x:row r="947" ht="38" customHeight="1">
      <x:c r="A947" s="2" t="str">
        <x:v>R5625</x:v>
      </x:c>
      <x:c r="B947" s="2" t="str">
        <x:v>10k</x:v>
      </x:c>
      <x:c r="C947" s="2" t="str">
        <x:v>Да</x:v>
      </x:c>
      <x:c r="D947" s="8" t="str">
        <x:v>CRCW060310K0FKEA</x:v>
      </x:c>
      <x:c r="E947" s="2" t="str">
        <x:v>Vishay</x:v>
      </x:c>
      <x:c r="F947" s="8" t="str">
        <x:v>0603</x:v>
      </x:c>
      <x:c r="G947" s="2" t="str">
        <x:v>SURFACE_MOUNT</x:v>
      </x:c>
      <x:c r="H947" s="2" t="str">
        <x:v>SELECTED_FAMILY_CODE</x:v>
      </x:c>
      <x:c r="I947" s="2" t="str">
        <x:v>Не выпущено</x:v>
      </x:c>
      <x:c r="J94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47" s="31" t="str">
        <x:v>https://www.vishay.com/docs/20035/dcrcwe3.pdf</x:v>
      </x:c>
      <x:c r="L947" s="31" t="str"/>
    </x:row>
    <x:row r="948" ht="38" customHeight="1">
      <x:c r="A948" s="12" t="str">
        <x:v>R5626</x:v>
      </x:c>
      <x:c r="B948" s="12" t="str">
        <x:v>1k</x:v>
      </x:c>
      <x:c r="C948" s="12" t="str">
        <x:v>Да</x:v>
      </x:c>
      <x:c r="D948" s="11" t="str">
        <x:v>CRCW06031K00FKEA</x:v>
      </x:c>
      <x:c r="E948" s="12" t="str">
        <x:v>Vishay</x:v>
      </x:c>
      <x:c r="F948" s="11" t="str">
        <x:v>0603</x:v>
      </x:c>
      <x:c r="G948" s="12" t="str">
        <x:v>SURFACE_MOUNT</x:v>
      </x:c>
      <x:c r="H948" s="12" t="str">
        <x:v>SELECTED_FAMILY_CODE</x:v>
      </x:c>
      <x:c r="I948" s="12" t="str">
        <x:v>Не выпущено</x:v>
      </x:c>
      <x:c r="J948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48" s="33" t="str">
        <x:v>https://www.vishay.com/docs/20035/dcrcwe3.pdf</x:v>
      </x:c>
      <x:c r="L948" s="33" t="str"/>
    </x:row>
    <x:row r="949" ht="38" customHeight="1">
      <x:c r="A949" s="2" t="str">
        <x:v>R5627</x:v>
      </x:c>
      <x:c r="B949" s="2" t="str">
        <x:v>1k</x:v>
      </x:c>
      <x:c r="C949" s="2" t="str">
        <x:v>Да</x:v>
      </x:c>
      <x:c r="D949" s="8" t="str">
        <x:v>CRCW06031K00FKEA</x:v>
      </x:c>
      <x:c r="E949" s="2" t="str">
        <x:v>Vishay</x:v>
      </x:c>
      <x:c r="F949" s="8" t="str">
        <x:v>0603</x:v>
      </x:c>
      <x:c r="G949" s="2" t="str">
        <x:v>SURFACE_MOUNT</x:v>
      </x:c>
      <x:c r="H949" s="2" t="str">
        <x:v>SELECTED_FAMILY_CODE</x:v>
      </x:c>
      <x:c r="I949" s="2" t="str">
        <x:v>Не выпущено</x:v>
      </x:c>
      <x:c r="J949" s="31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49" s="31" t="str">
        <x:v>https://www.vishay.com/docs/20035/dcrcwe3.pdf</x:v>
      </x:c>
      <x:c r="L949" s="31" t="str"/>
    </x:row>
    <x:row r="950" ht="38" customHeight="1">
      <x:c r="A950" s="12" t="str">
        <x:v>R5628</x:v>
      </x:c>
      <x:c r="B950" s="12" t="str">
        <x:v>1k</x:v>
      </x:c>
      <x:c r="C950" s="12" t="str">
        <x:v>Да</x:v>
      </x:c>
      <x:c r="D950" s="11" t="str">
        <x:v>CRCW06031K00FKEA</x:v>
      </x:c>
      <x:c r="E950" s="12" t="str">
        <x:v>Vishay</x:v>
      </x:c>
      <x:c r="F950" s="11" t="str">
        <x:v>0603</x:v>
      </x:c>
      <x:c r="G950" s="12" t="str">
        <x:v>SURFACE_MOUNT</x:v>
      </x:c>
      <x:c r="H950" s="12" t="str">
        <x:v>SELECTED_FAMILY_CODE</x:v>
      </x:c>
      <x:c r="I950" s="12" t="str">
        <x:v>Не выпущено</x:v>
      </x:c>
      <x:c r="J950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50" s="33" t="str">
        <x:v>https://www.vishay.com/docs/20035/dcrcwe3.pdf</x:v>
      </x:c>
      <x:c r="L950" s="33" t="str"/>
    </x:row>
    <x:row r="951" ht="38" customHeight="1">
      <x:c r="A951" s="2" t="str">
        <x:v>R5629</x:v>
      </x:c>
      <x:c r="B951" s="2" t="str">
        <x:v>120R DNP</x:v>
      </x:c>
      <x:c r="C951" s="2" t="str">
        <x:v>DNP</x:v>
      </x:c>
      <x:c r="D951" s="8" t="str"/>
      <x:c r="E951" s="2" t="str"/>
      <x:c r="F951" s="8" t="str">
        <x:v>Resistor_SMD:R_0603_1608Metric</x:v>
      </x:c>
      <x:c r="G951" s="2" t="str">
        <x:v>SURFACE_MOUNT</x:v>
      </x:c>
      <x:c r="H951" s="2" t="str">
        <x:v>Исключено из закупки</x:v>
      </x:c>
      <x:c r="I951" s="2" t="str">
        <x:v>Нет</x:v>
      </x:c>
      <x:c r="J951" s="31" t="str"/>
      <x:c r="K951" s="31" t="str"/>
      <x:c r="L951" s="31" t="str"/>
    </x:row>
    <x:row r="952" ht="38" customHeight="1">
      <x:c r="A952" s="12" t="str">
        <x:v>R5640</x:v>
      </x:c>
      <x:c r="B952" s="12" t="str">
        <x:v>10k</x:v>
      </x:c>
      <x:c r="C952" s="12" t="str">
        <x:v>Да</x:v>
      </x:c>
      <x:c r="D952" s="11" t="str">
        <x:v>CRCW060310K0FKEA</x:v>
      </x:c>
      <x:c r="E952" s="12" t="str">
        <x:v>Vishay</x:v>
      </x:c>
      <x:c r="F952" s="11" t="str">
        <x:v>0603</x:v>
      </x:c>
      <x:c r="G952" s="12" t="str">
        <x:v>SURFACE_MOUNT</x:v>
      </x:c>
      <x:c r="H952" s="12" t="str">
        <x:v>SELECTED_FAMILY_CODE</x:v>
      </x:c>
      <x:c r="I952" s="12" t="str">
        <x:v>Не выпущено</x:v>
      </x:c>
      <x:c r="J95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52" s="33" t="str">
        <x:v>https://www.vishay.com/docs/20035/dcrcwe3.pdf</x:v>
      </x:c>
      <x:c r="L952" s="33" t="str"/>
    </x:row>
    <x:row r="953" ht="38" customHeight="1">
      <x:c r="A953" s="2" t="str">
        <x:v>R5641</x:v>
      </x:c>
      <x:c r="B953" s="2" t="str">
        <x:v>10k</x:v>
      </x:c>
      <x:c r="C953" s="2" t="str">
        <x:v>Да</x:v>
      </x:c>
      <x:c r="D953" s="8" t="str">
        <x:v>CRCW060310K0FKEA</x:v>
      </x:c>
      <x:c r="E953" s="2" t="str">
        <x:v>Vishay</x:v>
      </x:c>
      <x:c r="F953" s="8" t="str">
        <x:v>0603</x:v>
      </x:c>
      <x:c r="G953" s="2" t="str">
        <x:v>SURFACE_MOUNT</x:v>
      </x:c>
      <x:c r="H953" s="2" t="str">
        <x:v>SELECTED_FAMILY_CODE</x:v>
      </x:c>
      <x:c r="I953" s="2" t="str">
        <x:v>Не выпущено</x:v>
      </x:c>
      <x:c r="J95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53" s="31" t="str">
        <x:v>https://www.vishay.com/docs/20035/dcrcwe3.pdf</x:v>
      </x:c>
      <x:c r="L953" s="31" t="str"/>
    </x:row>
    <x:row r="954" ht="38" customHeight="1">
      <x:c r="A954" s="12" t="str">
        <x:v>R5642</x:v>
      </x:c>
      <x:c r="B954" s="12" t="str">
        <x:v>2.2k 1%</x:v>
      </x:c>
      <x:c r="C954" s="12" t="str">
        <x:v>Да</x:v>
      </x:c>
      <x:c r="D954" s="11" t="str">
        <x:v>CRCW06032K20FKEA</x:v>
      </x:c>
      <x:c r="E954" s="12" t="str">
        <x:v>Vishay</x:v>
      </x:c>
      <x:c r="F954" s="11" t="str">
        <x:v>0603</x:v>
      </x:c>
      <x:c r="G954" s="12" t="str">
        <x:v>SURFACE_MOUNT</x:v>
      </x:c>
      <x:c r="H954" s="12" t="str">
        <x:v>SELECTED_FAMILY_CODE</x:v>
      </x:c>
      <x:c r="I954" s="12" t="str">
        <x:v>Не выпущено</x:v>
      </x:c>
      <x:c r="J954" s="33" t="str">
        <x:v>resistance_ohm: 2200.0;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54" s="33" t="str">
        <x:v>https://www.vishay.com/docs/20035/dcrcwe3.pdf</x:v>
      </x:c>
      <x:c r="L954" s="33" t="str"/>
    </x:row>
    <x:row r="955" ht="38" customHeight="1">
      <x:c r="A955" s="2" t="str">
        <x:v>R5643</x:v>
      </x:c>
      <x:c r="B955" s="2" t="str">
        <x:v>10k</x:v>
      </x:c>
      <x:c r="C955" s="2" t="str">
        <x:v>Да</x:v>
      </x:c>
      <x:c r="D955" s="8" t="str">
        <x:v>CRCW060310K0FKEA</x:v>
      </x:c>
      <x:c r="E955" s="2" t="str">
        <x:v>Vishay</x:v>
      </x:c>
      <x:c r="F955" s="8" t="str">
        <x:v>0603</x:v>
      </x:c>
      <x:c r="G955" s="2" t="str">
        <x:v>SURFACE_MOUNT</x:v>
      </x:c>
      <x:c r="H955" s="2" t="str">
        <x:v>SELECTED_FAMILY_CODE</x:v>
      </x:c>
      <x:c r="I955" s="2" t="str">
        <x:v>Не выпущено</x:v>
      </x:c>
      <x:c r="J95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55" s="31" t="str">
        <x:v>https://www.vishay.com/docs/20035/dcrcwe3.pdf</x:v>
      </x:c>
      <x:c r="L955" s="31" t="str"/>
    </x:row>
    <x:row r="956" ht="38" customHeight="1">
      <x:c r="A956" s="12" t="str">
        <x:v>R5644</x:v>
      </x:c>
      <x:c r="B956" s="12" t="str">
        <x:v>0R</x:v>
      </x:c>
      <x:c r="C956" s="12" t="str">
        <x:v>Да</x:v>
      </x:c>
      <x:c r="D956" s="11" t="str">
        <x:v>CRCW06030000Z0EA</x:v>
      </x:c>
      <x:c r="E956" s="12" t="str">
        <x:v>Vishay</x:v>
      </x:c>
      <x:c r="F956" s="11" t="str">
        <x:v>0603</x:v>
      </x:c>
      <x:c r="G956" s="12" t="str">
        <x:v>SURFACE_MOUNT</x:v>
      </x:c>
      <x:c r="H956" s="12" t="str">
        <x:v>SELECTED_FAMILY_CODE</x:v>
      </x:c>
      <x:c r="I956" s="12" t="str">
        <x:v>Не выпущено</x:v>
      </x:c>
      <x:c r="J956" s="33" t="str">
        <x:v>resistance_ohm: 0.0; tolerance_pct: None; tcr_ppm_c: None; power_w: 0.1; working_voltage_v: 75; power_reference_temperature_c: 70; temperature_min_c: -55; temperature_max_c: 155; technology: jumper; aec_q200: True; current_a: 2</x:v>
      </x:c>
      <x:c r="K956" s="33" t="str">
        <x:v>https://www.vishay.com/docs/20035/dcrcwe3.pdf</x:v>
      </x:c>
      <x:c r="L956" s="33" t="str"/>
    </x:row>
    <x:row r="957" ht="38" customHeight="1">
      <x:c r="A957" s="2" t="str">
        <x:v>R5645</x:v>
      </x:c>
      <x:c r="B957" s="2" t="str">
        <x:v>100k</x:v>
      </x:c>
      <x:c r="C957" s="2" t="str">
        <x:v>Да</x:v>
      </x:c>
      <x:c r="D957" s="8" t="str">
        <x:v>CRCW0603100KFKEA</x:v>
      </x:c>
      <x:c r="E957" s="2" t="str">
        <x:v>Vishay</x:v>
      </x:c>
      <x:c r="F957" s="8" t="str">
        <x:v>0603</x:v>
      </x:c>
      <x:c r="G957" s="2" t="str">
        <x:v>SURFACE_MOUNT</x:v>
      </x:c>
      <x:c r="H957" s="2" t="str">
        <x:v>SELECTED_FAMILY_CODE</x:v>
      </x:c>
      <x:c r="I957" s="2" t="str">
        <x:v>Не выпущено</x:v>
      </x:c>
      <x:c r="J957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57" s="31" t="str">
        <x:v>https://www.vishay.com/docs/20035/dcrcwe3.pdf</x:v>
      </x:c>
      <x:c r="L957" s="31" t="str"/>
    </x:row>
    <x:row r="958" ht="38" customHeight="1">
      <x:c r="A958" s="12" t="str">
        <x:v>R5660</x:v>
      </x:c>
      <x:c r="B958" s="12" t="str">
        <x:v>30k 0.1%</x:v>
      </x:c>
      <x:c r="C958" s="12" t="str">
        <x:v>Да</x:v>
      </x:c>
      <x:c r="D958" s="11" t="str">
        <x:v>RNCF0603BTE30K0</x:v>
      </x:c>
      <x:c r="E958" s="12" t="str">
        <x:v>Stackpole Electronics</x:v>
      </x:c>
      <x:c r="F958" s="11" t="str">
        <x:v>0603</x:v>
      </x:c>
      <x:c r="G958" s="12" t="str">
        <x:v>SURFACE_MOUNT</x:v>
      </x:c>
      <x:c r="H958" s="12" t="str">
        <x:v>SELECTED_CATALOG_ITEM</x:v>
      </x:c>
      <x:c r="I958" s="12" t="str">
        <x:v>Не выпущено</x:v>
      </x:c>
      <x:c r="J958" s="33" t="str">
        <x:v>resistance_ohm: 30000;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958" s="33" t="str">
        <x:v>https://www.digikey.com/en/products/detail/stackpole-electronics-inc/RNCF0603BTE30K0/16890249; https://www.seielect.com/Catalog/SEI-RNCF.pdf</x:v>
      </x:c>
      <x:c r="L958" s="33" t="str"/>
    </x:row>
    <x:row r="959" ht="38" customHeight="1">
      <x:c r="A959" s="2" t="str">
        <x:v>R5661</x:v>
      </x:c>
      <x:c r="B959" s="2" t="str">
        <x:v>2.2k 1%</x:v>
      </x:c>
      <x:c r="C959" s="2" t="str">
        <x:v>Да</x:v>
      </x:c>
      <x:c r="D959" s="8" t="str">
        <x:v>CRCW06032K20FKEA</x:v>
      </x:c>
      <x:c r="E959" s="2" t="str">
        <x:v>Vishay</x:v>
      </x:c>
      <x:c r="F959" s="8" t="str">
        <x:v>0603</x:v>
      </x:c>
      <x:c r="G959" s="2" t="str">
        <x:v>SURFACE_MOUNT</x:v>
      </x:c>
      <x:c r="H959" s="2" t="str">
        <x:v>SELECTED_FAMILY_CODE</x:v>
      </x:c>
      <x:c r="I959" s="2" t="str">
        <x:v>Не выпущено</x:v>
      </x:c>
      <x:c r="J959" s="31" t="str">
        <x:v>resistance_ohm: 2200.0;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59" s="31" t="str">
        <x:v>https://www.vishay.com/docs/20035/dcrcwe3.pdf</x:v>
      </x:c>
      <x:c r="L959" s="31" t="str"/>
    </x:row>
    <x:row r="960" ht="38" customHeight="1">
      <x:c r="A960" s="12" t="str">
        <x:v>R5662</x:v>
      </x:c>
      <x:c r="B960" s="12" t="str">
        <x:v>10k</x:v>
      </x:c>
      <x:c r="C960" s="12" t="str">
        <x:v>Да</x:v>
      </x:c>
      <x:c r="D960" s="11" t="str">
        <x:v>CRCW060310K0FKEA</x:v>
      </x:c>
      <x:c r="E960" s="12" t="str">
        <x:v>Vishay</x:v>
      </x:c>
      <x:c r="F960" s="11" t="str">
        <x:v>0603</x:v>
      </x:c>
      <x:c r="G960" s="12" t="str">
        <x:v>SURFACE_MOUNT</x:v>
      </x:c>
      <x:c r="H960" s="12" t="str">
        <x:v>SELECTED_FAMILY_CODE</x:v>
      </x:c>
      <x:c r="I960" s="12" t="str">
        <x:v>Не выпущено</x:v>
      </x:c>
      <x:c r="J96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60" s="33" t="str">
        <x:v>https://www.vishay.com/docs/20035/dcrcwe3.pdf</x:v>
      </x:c>
      <x:c r="L960" s="33" t="str"/>
    </x:row>
    <x:row r="961" ht="38" customHeight="1">
      <x:c r="A961" s="2" t="str">
        <x:v>R5663</x:v>
      </x:c>
      <x:c r="B961" s="2" t="str">
        <x:v>220R 0.1%</x:v>
      </x:c>
      <x:c r="C961" s="2" t="str">
        <x:v>Да</x:v>
      </x:c>
      <x:c r="D961" s="8" t="str">
        <x:v>RNCF0603BTE220R</x:v>
      </x:c>
      <x:c r="E961" s="2" t="str">
        <x:v>Stackpole Electronics</x:v>
      </x:c>
      <x:c r="F961" s="8" t="str">
        <x:v>0603</x:v>
      </x:c>
      <x:c r="G961" s="2" t="str">
        <x:v>SURFACE_MOUNT</x:v>
      </x:c>
      <x:c r="H961" s="2" t="str">
        <x:v>SELECTED_CATALOG_ITEM</x:v>
      </x:c>
      <x:c r="I961" s="2" t="str">
        <x:v>Не выпущено</x:v>
      </x:c>
      <x:c r="J961" s="31" t="str">
        <x:v>resistance_ohm: 220;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961" s="31" t="str">
        <x:v>https://www.mouser.ca/en/ProductDetail/SEI-Stackpole/RNCF0603BTE220R; https://www.seielect.com/Catalog/SEI-RNCF.pdf</x:v>
      </x:c>
      <x:c r="L961" s="31" t="str"/>
    </x:row>
    <x:row r="962" ht="38" customHeight="1">
      <x:c r="A962" s="12" t="str">
        <x:v>R5664</x:v>
      </x:c>
      <x:c r="B962" s="12" t="str">
        <x:v>4.7k 1%</x:v>
      </x:c>
      <x:c r="C962" s="12" t="str">
        <x:v>Да</x:v>
      </x:c>
      <x:c r="D962" s="11" t="str">
        <x:v>CRCW06034K70FKEA</x:v>
      </x:c>
      <x:c r="E962" s="12" t="str">
        <x:v>Vishay</x:v>
      </x:c>
      <x:c r="F962" s="11" t="str">
        <x:v>0603</x:v>
      </x:c>
      <x:c r="G962" s="12" t="str">
        <x:v>SURFACE_MOUNT</x:v>
      </x:c>
      <x:c r="H962" s="12" t="str">
        <x:v>SELECTED_FAMILY_CODE</x:v>
      </x:c>
      <x:c r="I962" s="12" t="str">
        <x:v>Не выпущено</x:v>
      </x:c>
      <x:c r="J962" s="33" t="str">
        <x:v>resistance_ohm: 4700.0;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62" s="33" t="str">
        <x:v>https://www.vishay.com/docs/20035/dcrcwe3.pdf</x:v>
      </x:c>
      <x:c r="L962" s="33" t="str"/>
    </x:row>
    <x:row r="963" ht="38" customHeight="1">
      <x:c r="A963" s="2" t="str">
        <x:v>R5665</x:v>
      </x:c>
      <x:c r="B963" s="2" t="str">
        <x:v>10k 1%</x:v>
      </x:c>
      <x:c r="C963" s="2" t="str">
        <x:v>Да</x:v>
      </x:c>
      <x:c r="D963" s="8" t="str">
        <x:v>CRCW060310K0FKEA</x:v>
      </x:c>
      <x:c r="E963" s="2" t="str">
        <x:v>Vishay</x:v>
      </x:c>
      <x:c r="F963" s="8" t="str">
        <x:v>0603</x:v>
      </x:c>
      <x:c r="G963" s="2" t="str">
        <x:v>SURFACE_MOUNT</x:v>
      </x:c>
      <x:c r="H963" s="2" t="str">
        <x:v>SELECTED_FAMILY_CODE</x:v>
      </x:c>
      <x:c r="I963" s="2" t="str">
        <x:v>Не выпущено</x:v>
      </x:c>
      <x:c r="J96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63" s="31" t="str">
        <x:v>https://www.vishay.com/docs/20035/dcrcwe3.pdf</x:v>
      </x:c>
      <x:c r="L963" s="31" t="str"/>
    </x:row>
    <x:row r="964" ht="38" customHeight="1">
      <x:c r="A964" s="12" t="str">
        <x:v>R6000</x:v>
      </x:c>
      <x:c r="B964" s="12" t="str">
        <x:v>100R</x:v>
      </x:c>
      <x:c r="C964" s="12" t="str">
        <x:v>Да</x:v>
      </x:c>
      <x:c r="D964" s="11" t="str">
        <x:v>CRCW0603100RFKEA</x:v>
      </x:c>
      <x:c r="E964" s="12" t="str">
        <x:v>Vishay</x:v>
      </x:c>
      <x:c r="F964" s="11" t="str">
        <x:v>0603</x:v>
      </x:c>
      <x:c r="G964" s="12" t="str">
        <x:v>SURFACE_MOUNT</x:v>
      </x:c>
      <x:c r="H964" s="12" t="str">
        <x:v>SELECTED_FAMILY_CODE</x:v>
      </x:c>
      <x:c r="I964" s="12" t="str">
        <x:v>Не выпущено</x:v>
      </x:c>
      <x:c r="J964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64" s="33" t="str">
        <x:v>https://www.vishay.com/docs/20035/dcrcwe3.pdf</x:v>
      </x:c>
      <x:c r="L964" s="33" t="str"/>
    </x:row>
    <x:row r="965" ht="38" customHeight="1">
      <x:c r="A965" s="2" t="str">
        <x:v>R6001</x:v>
      </x:c>
      <x:c r="B965" s="2" t="str">
        <x:v>100R</x:v>
      </x:c>
      <x:c r="C965" s="2" t="str">
        <x:v>Да</x:v>
      </x:c>
      <x:c r="D965" s="8" t="str">
        <x:v>CRCW0603100RFKEA</x:v>
      </x:c>
      <x:c r="E965" s="2" t="str">
        <x:v>Vishay</x:v>
      </x:c>
      <x:c r="F965" s="8" t="str">
        <x:v>0603</x:v>
      </x:c>
      <x:c r="G965" s="2" t="str">
        <x:v>SURFACE_MOUNT</x:v>
      </x:c>
      <x:c r="H965" s="2" t="str">
        <x:v>SELECTED_FAMILY_CODE</x:v>
      </x:c>
      <x:c r="I965" s="2" t="str">
        <x:v>Не выпущено</x:v>
      </x:c>
      <x:c r="J965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65" s="31" t="str">
        <x:v>https://www.vishay.com/docs/20035/dcrcwe3.pdf</x:v>
      </x:c>
      <x:c r="L965" s="31" t="str"/>
    </x:row>
    <x:row r="966" ht="38" customHeight="1">
      <x:c r="A966" s="12" t="str">
        <x:v>R6002</x:v>
      </x:c>
      <x:c r="B966" s="12" t="str">
        <x:v>10k</x:v>
      </x:c>
      <x:c r="C966" s="12" t="str">
        <x:v>Да</x:v>
      </x:c>
      <x:c r="D966" s="11" t="str">
        <x:v>CRCW060310K0FKEA</x:v>
      </x:c>
      <x:c r="E966" s="12" t="str">
        <x:v>Vishay</x:v>
      </x:c>
      <x:c r="F966" s="11" t="str">
        <x:v>0603</x:v>
      </x:c>
      <x:c r="G966" s="12" t="str">
        <x:v>SURFACE_MOUNT</x:v>
      </x:c>
      <x:c r="H966" s="12" t="str">
        <x:v>SELECTED_FAMILY_CODE</x:v>
      </x:c>
      <x:c r="I966" s="12" t="str">
        <x:v>Не выпущено</x:v>
      </x:c>
      <x:c r="J966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66" s="33" t="str">
        <x:v>https://www.vishay.com/docs/20035/dcrcwe3.pdf</x:v>
      </x:c>
      <x:c r="L966" s="33" t="str"/>
    </x:row>
    <x:row r="967" ht="38" customHeight="1">
      <x:c r="A967" s="2" t="str">
        <x:v>R6003</x:v>
      </x:c>
      <x:c r="B967" s="2" t="str">
        <x:v>10k</x:v>
      </x:c>
      <x:c r="C967" s="2" t="str">
        <x:v>Да</x:v>
      </x:c>
      <x:c r="D967" s="8" t="str">
        <x:v>CRCW060310K0FKEA</x:v>
      </x:c>
      <x:c r="E967" s="2" t="str">
        <x:v>Vishay</x:v>
      </x:c>
      <x:c r="F967" s="8" t="str">
        <x:v>0603</x:v>
      </x:c>
      <x:c r="G967" s="2" t="str">
        <x:v>SURFACE_MOUNT</x:v>
      </x:c>
      <x:c r="H967" s="2" t="str">
        <x:v>SELECTED_FAMILY_CODE</x:v>
      </x:c>
      <x:c r="I967" s="2" t="str">
        <x:v>Не выпущено</x:v>
      </x:c>
      <x:c r="J96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67" s="31" t="str">
        <x:v>https://www.vishay.com/docs/20035/dcrcwe3.pdf</x:v>
      </x:c>
      <x:c r="L967" s="31" t="str"/>
    </x:row>
    <x:row r="968" ht="38" customHeight="1">
      <x:c r="A968" s="12" t="str">
        <x:v>R6004</x:v>
      </x:c>
      <x:c r="B968" s="12" t="str">
        <x:v>10k</x:v>
      </x:c>
      <x:c r="C968" s="12" t="str">
        <x:v>Да</x:v>
      </x:c>
      <x:c r="D968" s="11" t="str">
        <x:v>CRCW060310K0FKEA</x:v>
      </x:c>
      <x:c r="E968" s="12" t="str">
        <x:v>Vishay</x:v>
      </x:c>
      <x:c r="F968" s="11" t="str">
        <x:v>0603</x:v>
      </x:c>
      <x:c r="G968" s="12" t="str">
        <x:v>SURFACE_MOUNT</x:v>
      </x:c>
      <x:c r="H968" s="12" t="str">
        <x:v>SELECTED_FAMILY_CODE</x:v>
      </x:c>
      <x:c r="I968" s="12" t="str">
        <x:v>Не выпущено</x:v>
      </x:c>
      <x:c r="J968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68" s="33" t="str">
        <x:v>https://www.vishay.com/docs/20035/dcrcwe3.pdf</x:v>
      </x:c>
      <x:c r="L968" s="33" t="str"/>
    </x:row>
    <x:row r="969" ht="38" customHeight="1">
      <x:c r="A969" s="2" t="str">
        <x:v>R6005</x:v>
      </x:c>
      <x:c r="B969" s="2" t="str">
        <x:v>10k</x:v>
      </x:c>
      <x:c r="C969" s="2" t="str">
        <x:v>Да</x:v>
      </x:c>
      <x:c r="D969" s="8" t="str">
        <x:v>CRCW060310K0FKEA</x:v>
      </x:c>
      <x:c r="E969" s="2" t="str">
        <x:v>Vishay</x:v>
      </x:c>
      <x:c r="F969" s="8" t="str">
        <x:v>0603</x:v>
      </x:c>
      <x:c r="G969" s="2" t="str">
        <x:v>SURFACE_MOUNT</x:v>
      </x:c>
      <x:c r="H969" s="2" t="str">
        <x:v>SELECTED_FAMILY_CODE</x:v>
      </x:c>
      <x:c r="I969" s="2" t="str">
        <x:v>Не выпущено</x:v>
      </x:c>
      <x:c r="J96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69" s="31" t="str">
        <x:v>https://www.vishay.com/docs/20035/dcrcwe3.pdf</x:v>
      </x:c>
      <x:c r="L969" s="31" t="str"/>
    </x:row>
    <x:row r="970" ht="38" customHeight="1">
      <x:c r="A970" s="12" t="str">
        <x:v>R6050</x:v>
      </x:c>
      <x:c r="B970" s="12" t="str">
        <x:v>100R</x:v>
      </x:c>
      <x:c r="C970" s="12" t="str">
        <x:v>Да</x:v>
      </x:c>
      <x:c r="D970" s="11" t="str">
        <x:v>CRCW0603100RFKEA</x:v>
      </x:c>
      <x:c r="E970" s="12" t="str">
        <x:v>Vishay</x:v>
      </x:c>
      <x:c r="F970" s="11" t="str">
        <x:v>0603</x:v>
      </x:c>
      <x:c r="G970" s="12" t="str">
        <x:v>SURFACE_MOUNT</x:v>
      </x:c>
      <x:c r="H970" s="12" t="str">
        <x:v>SELECTED_FAMILY_CODE</x:v>
      </x:c>
      <x:c r="I970" s="12" t="str">
        <x:v>Не выпущено</x:v>
      </x:c>
      <x:c r="J970" s="33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70" s="33" t="str">
        <x:v>https://www.vishay.com/docs/20035/dcrcwe3.pdf</x:v>
      </x:c>
      <x:c r="L970" s="33" t="str"/>
    </x:row>
    <x:row r="971" ht="38" customHeight="1">
      <x:c r="A971" s="2" t="str">
        <x:v>R6051</x:v>
      </x:c>
      <x:c r="B971" s="2" t="str">
        <x:v>100R</x:v>
      </x:c>
      <x:c r="C971" s="2" t="str">
        <x:v>Да</x:v>
      </x:c>
      <x:c r="D971" s="8" t="str">
        <x:v>CRCW0603100RFKEA</x:v>
      </x:c>
      <x:c r="E971" s="2" t="str">
        <x:v>Vishay</x:v>
      </x:c>
      <x:c r="F971" s="8" t="str">
        <x:v>0603</x:v>
      </x:c>
      <x:c r="G971" s="2" t="str">
        <x:v>SURFACE_MOUNT</x:v>
      </x:c>
      <x:c r="H971" s="2" t="str">
        <x:v>SELECTED_FAMILY_CODE</x:v>
      </x:c>
      <x:c r="I971" s="2" t="str">
        <x:v>Не выпущено</x:v>
      </x:c>
      <x:c r="J971" s="31" t="str">
        <x:v>resistance_ohm: 100.0;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71" s="31" t="str">
        <x:v>https://www.vishay.com/docs/20035/dcrcwe3.pdf</x:v>
      </x:c>
      <x:c r="L971" s="31" t="str"/>
    </x:row>
    <x:row r="972" ht="38" customHeight="1">
      <x:c r="A972" s="12" t="str">
        <x:v>R6052</x:v>
      </x:c>
      <x:c r="B972" s="12" t="str">
        <x:v>10k</x:v>
      </x:c>
      <x:c r="C972" s="12" t="str">
        <x:v>Да</x:v>
      </x:c>
      <x:c r="D972" s="11" t="str">
        <x:v>CRCW060310K0FKEA</x:v>
      </x:c>
      <x:c r="E972" s="12" t="str">
        <x:v>Vishay</x:v>
      </x:c>
      <x:c r="F972" s="11" t="str">
        <x:v>0603</x:v>
      </x:c>
      <x:c r="G972" s="12" t="str">
        <x:v>SURFACE_MOUNT</x:v>
      </x:c>
      <x:c r="H972" s="12" t="str">
        <x:v>SELECTED_FAMILY_CODE</x:v>
      </x:c>
      <x:c r="I972" s="12" t="str">
        <x:v>Не выпущено</x:v>
      </x:c>
      <x:c r="J972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72" s="33" t="str">
        <x:v>https://www.vishay.com/docs/20035/dcrcwe3.pdf</x:v>
      </x:c>
      <x:c r="L972" s="33" t="str"/>
    </x:row>
    <x:row r="973" ht="38" customHeight="1">
      <x:c r="A973" s="2" t="str">
        <x:v>R6053</x:v>
      </x:c>
      <x:c r="B973" s="2" t="str">
        <x:v>10k</x:v>
      </x:c>
      <x:c r="C973" s="2" t="str">
        <x:v>Да</x:v>
      </x:c>
      <x:c r="D973" s="8" t="str">
        <x:v>CRCW060310K0FKEA</x:v>
      </x:c>
      <x:c r="E973" s="2" t="str">
        <x:v>Vishay</x:v>
      </x:c>
      <x:c r="F973" s="8" t="str">
        <x:v>0603</x:v>
      </x:c>
      <x:c r="G973" s="2" t="str">
        <x:v>SURFACE_MOUNT</x:v>
      </x:c>
      <x:c r="H973" s="2" t="str">
        <x:v>SELECTED_FAMILY_CODE</x:v>
      </x:c>
      <x:c r="I973" s="2" t="str">
        <x:v>Не выпущено</x:v>
      </x:c>
      <x:c r="J97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73" s="31" t="str">
        <x:v>https://www.vishay.com/docs/20035/dcrcwe3.pdf</x:v>
      </x:c>
      <x:c r="L973" s="31" t="str"/>
    </x:row>
    <x:row r="974" ht="38" customHeight="1">
      <x:c r="A974" s="12" t="str">
        <x:v>R6054</x:v>
      </x:c>
      <x:c r="B974" s="12" t="str">
        <x:v>10k</x:v>
      </x:c>
      <x:c r="C974" s="12" t="str">
        <x:v>Да</x:v>
      </x:c>
      <x:c r="D974" s="11" t="str">
        <x:v>CRCW060310K0FKEA</x:v>
      </x:c>
      <x:c r="E974" s="12" t="str">
        <x:v>Vishay</x:v>
      </x:c>
      <x:c r="F974" s="11" t="str">
        <x:v>0603</x:v>
      </x:c>
      <x:c r="G974" s="12" t="str">
        <x:v>SURFACE_MOUNT</x:v>
      </x:c>
      <x:c r="H974" s="12" t="str">
        <x:v>SELECTED_FAMILY_CODE</x:v>
      </x:c>
      <x:c r="I974" s="12" t="str">
        <x:v>Не выпущено</x:v>
      </x:c>
      <x:c r="J974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74" s="33" t="str">
        <x:v>https://www.vishay.com/docs/20035/dcrcwe3.pdf</x:v>
      </x:c>
      <x:c r="L974" s="33" t="str"/>
    </x:row>
    <x:row r="975" ht="38" customHeight="1">
      <x:c r="A975" s="2" t="str">
        <x:v>R6055</x:v>
      </x:c>
      <x:c r="B975" s="2" t="str">
        <x:v>10k</x:v>
      </x:c>
      <x:c r="C975" s="2" t="str">
        <x:v>Да</x:v>
      </x:c>
      <x:c r="D975" s="8" t="str">
        <x:v>CRCW060310K0FKEA</x:v>
      </x:c>
      <x:c r="E975" s="2" t="str">
        <x:v>Vishay</x:v>
      </x:c>
      <x:c r="F975" s="8" t="str">
        <x:v>0603</x:v>
      </x:c>
      <x:c r="G975" s="2" t="str">
        <x:v>SURFACE_MOUNT</x:v>
      </x:c>
      <x:c r="H975" s="2" t="str">
        <x:v>SELECTED_FAMILY_CODE</x:v>
      </x:c>
      <x:c r="I975" s="2" t="str">
        <x:v>Не выпущено</x:v>
      </x:c>
      <x:c r="J97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75" s="31" t="str">
        <x:v>https://www.vishay.com/docs/20035/dcrcwe3.pdf</x:v>
      </x:c>
      <x:c r="L975" s="31" t="str"/>
    </x:row>
    <x:row r="976" ht="38" customHeight="1">
      <x:c r="A976" s="12" t="str">
        <x:v>R6190</x:v>
      </x:c>
      <x:c r="B976" s="12" t="str">
        <x:v>47R</x:v>
      </x:c>
      <x:c r="C976" s="12" t="str">
        <x:v>Да</x:v>
      </x:c>
      <x:c r="D976" s="11" t="str">
        <x:v>CRCW060347R0FKEA</x:v>
      </x:c>
      <x:c r="E976" s="12" t="str">
        <x:v>Vishay</x:v>
      </x:c>
      <x:c r="F976" s="11" t="str">
        <x:v>0603</x:v>
      </x:c>
      <x:c r="G976" s="12" t="str">
        <x:v>SURFACE_MOUNT</x:v>
      </x:c>
      <x:c r="H976" s="12" t="str">
        <x:v>SELECTED_FAMILY_CODE</x:v>
      </x:c>
      <x:c r="I976" s="12" t="str">
        <x:v>Не выпущено</x:v>
      </x:c>
      <x:c r="J976" s="33" t="str">
        <x:v>resistance_ohm: 47.0;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76" s="33" t="str">
        <x:v>https://www.vishay.com/docs/20035/dcrcwe3.pdf</x:v>
      </x:c>
      <x:c r="L976" s="33" t="str"/>
    </x:row>
    <x:row r="977" ht="38" customHeight="1">
      <x:c r="A977" s="2" t="str">
        <x:v>R6191</x:v>
      </x:c>
      <x:c r="B977" s="2" t="str">
        <x:v>47R</x:v>
      </x:c>
      <x:c r="C977" s="2" t="str">
        <x:v>Да</x:v>
      </x:c>
      <x:c r="D977" s="8" t="str">
        <x:v>CRCW060347R0FKEA</x:v>
      </x:c>
      <x:c r="E977" s="2" t="str">
        <x:v>Vishay</x:v>
      </x:c>
      <x:c r="F977" s="8" t="str">
        <x:v>0603</x:v>
      </x:c>
      <x:c r="G977" s="2" t="str">
        <x:v>SURFACE_MOUNT</x:v>
      </x:c>
      <x:c r="H977" s="2" t="str">
        <x:v>SELECTED_FAMILY_CODE</x:v>
      </x:c>
      <x:c r="I977" s="2" t="str">
        <x:v>Не выпущено</x:v>
      </x:c>
      <x:c r="J977" s="31" t="str">
        <x:v>resistance_ohm: 47.0;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77" s="31" t="str">
        <x:v>https://www.vishay.com/docs/20035/dcrcwe3.pdf</x:v>
      </x:c>
      <x:c r="L977" s="31" t="str"/>
    </x:row>
    <x:row r="978" ht="38" customHeight="1">
      <x:c r="A978" s="12" t="str">
        <x:v>R6192</x:v>
      </x:c>
      <x:c r="B978" s="12" t="str">
        <x:v>47R</x:v>
      </x:c>
      <x:c r="C978" s="12" t="str">
        <x:v>Да</x:v>
      </x:c>
      <x:c r="D978" s="11" t="str">
        <x:v>CRCW060347R0FKEA</x:v>
      </x:c>
      <x:c r="E978" s="12" t="str">
        <x:v>Vishay</x:v>
      </x:c>
      <x:c r="F978" s="11" t="str">
        <x:v>0603</x:v>
      </x:c>
      <x:c r="G978" s="12" t="str">
        <x:v>SURFACE_MOUNT</x:v>
      </x:c>
      <x:c r="H978" s="12" t="str">
        <x:v>SELECTED_FAMILY_CODE</x:v>
      </x:c>
      <x:c r="I978" s="12" t="str">
        <x:v>Не выпущено</x:v>
      </x:c>
      <x:c r="J978" s="33" t="str">
        <x:v>resistance_ohm: 47.0;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78" s="33" t="str">
        <x:v>https://www.vishay.com/docs/20035/dcrcwe3.pdf</x:v>
      </x:c>
      <x:c r="L978" s="33" t="str"/>
    </x:row>
    <x:row r="979" ht="38" customHeight="1">
      <x:c r="A979" s="2" t="str">
        <x:v>R6193</x:v>
      </x:c>
      <x:c r="B979" s="2" t="str">
        <x:v>10k</x:v>
      </x:c>
      <x:c r="C979" s="2" t="str">
        <x:v>Да</x:v>
      </x:c>
      <x:c r="D979" s="8" t="str">
        <x:v>CRCW060310K0FKEA</x:v>
      </x:c>
      <x:c r="E979" s="2" t="str">
        <x:v>Vishay</x:v>
      </x:c>
      <x:c r="F979" s="8" t="str">
        <x:v>0603</x:v>
      </x:c>
      <x:c r="G979" s="2" t="str">
        <x:v>SURFACE_MOUNT</x:v>
      </x:c>
      <x:c r="H979" s="2" t="str">
        <x:v>SELECTED_FAMILY_CODE</x:v>
      </x:c>
      <x:c r="I979" s="2" t="str">
        <x:v>Не выпущено</x:v>
      </x:c>
      <x:c r="J97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79" s="31" t="str">
        <x:v>https://www.vishay.com/docs/20035/dcrcwe3.pdf</x:v>
      </x:c>
      <x:c r="L979" s="31" t="str"/>
    </x:row>
    <x:row r="980" ht="38" customHeight="1">
      <x:c r="A980" s="12" t="str">
        <x:v>R6194</x:v>
      </x:c>
      <x:c r="B980" s="12" t="str">
        <x:v>10k</x:v>
      </x:c>
      <x:c r="C980" s="12" t="str">
        <x:v>Да</x:v>
      </x:c>
      <x:c r="D980" s="11" t="str">
        <x:v>CRCW060310K0FKEA</x:v>
      </x:c>
      <x:c r="E980" s="12" t="str">
        <x:v>Vishay</x:v>
      </x:c>
      <x:c r="F980" s="11" t="str">
        <x:v>0603</x:v>
      </x:c>
      <x:c r="G980" s="12" t="str">
        <x:v>SURFACE_MOUNT</x:v>
      </x:c>
      <x:c r="H980" s="12" t="str">
        <x:v>SELECTED_FAMILY_CODE</x:v>
      </x:c>
      <x:c r="I980" s="12" t="str">
        <x:v>Не выпущено</x:v>
      </x:c>
      <x:c r="J980" s="33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80" s="33" t="str">
        <x:v>https://www.vishay.com/docs/20035/dcrcwe3.pdf</x:v>
      </x:c>
      <x:c r="L980" s="33" t="str"/>
    </x:row>
    <x:row r="981" ht="38" customHeight="1">
      <x:c r="A981" s="2" t="str">
        <x:v>R6195</x:v>
      </x:c>
      <x:c r="B981" s="2" t="str">
        <x:v>100k</x:v>
      </x:c>
      <x:c r="C981" s="2" t="str">
        <x:v>Да</x:v>
      </x:c>
      <x:c r="D981" s="8" t="str">
        <x:v>CRCW0603100KFKEA</x:v>
      </x:c>
      <x:c r="E981" s="2" t="str">
        <x:v>Vishay</x:v>
      </x:c>
      <x:c r="F981" s="8" t="str">
        <x:v>0603</x:v>
      </x:c>
      <x:c r="G981" s="2" t="str">
        <x:v>SURFACE_MOUNT</x:v>
      </x:c>
      <x:c r="H981" s="2" t="str">
        <x:v>SELECTED_FAMILY_CODE</x:v>
      </x:c>
      <x:c r="I981" s="2" t="str">
        <x:v>Не выпущено</x:v>
      </x:c>
      <x:c r="J981" s="31" t="str">
        <x:v>resistance_ohm: 100000.0;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81" s="31" t="str">
        <x:v>https://www.vishay.com/docs/20035/dcrcwe3.pdf</x:v>
      </x:c>
      <x:c r="L981" s="31" t="str"/>
    </x:row>
    <x:row r="982" ht="38" customHeight="1">
      <x:c r="A982" s="12" t="str">
        <x:v>R6200</x:v>
      </x:c>
      <x:c r="B982" s="12" t="str">
        <x:v>140k 0.1%</x:v>
      </x:c>
      <x:c r="C982" s="12" t="str">
        <x:v>Да</x:v>
      </x:c>
      <x:c r="D982" s="11" t="str">
        <x:v>RG2012P-1403-B-T5</x:v>
      </x:c>
      <x:c r="E982" s="12" t="str">
        <x:v>Susumu</x:v>
      </x:c>
      <x:c r="F982" s="11" t="str">
        <x:v>0805</x:v>
      </x:c>
      <x:c r="G982" s="12" t="str">
        <x:v>SURFACE_MOUNT</x:v>
      </x:c>
      <x:c r="H982" s="12" t="str">
        <x:v>SELECTED_CATALOG_ITEM</x:v>
      </x:c>
      <x:c r="I982" s="12" t="str">
        <x:v>Не выпущено</x:v>
      </x:c>
      <x:c r="J982" s="33" t="str">
        <x:v>resistance_ohm: 140000; tolerance_pct: 0.1; tcr_ppm_c: 25; power_w: 0.125; working_voltage_v: 150; temperature_min_c: -55; temperature_max_c: 155; technology: thin film; aec_q200: True; derating: Use manufacturer power versus ambient/terminal temperature curve; PCB thermal and fault pulse envelope not qualified.</x:v>
      </x:c>
      <x:c r="K982" s="33" t="str">
        <x:v>https://www.digikey.com/en/products/detail/susumu/RG2012P-1403-B-T5/1241065</x:v>
      </x:c>
      <x:c r="L982" s="33" t="str"/>
    </x:row>
    <x:row r="983" ht="38" customHeight="1">
      <x:c r="A983" s="2" t="str">
        <x:v>R6201</x:v>
      </x:c>
      <x:c r="B983" s="2" t="str">
        <x:v>10k 0.1%</x:v>
      </x:c>
      <x:c r="C983" s="2" t="str">
        <x:v>Да</x:v>
      </x:c>
      <x:c r="D983" s="8" t="str">
        <x:v>RNCF0603BTE10K0</x:v>
      </x:c>
      <x:c r="E983" s="2" t="str">
        <x:v>Stackpole Electronics</x:v>
      </x:c>
      <x:c r="F983" s="8" t="str">
        <x:v>0603</x:v>
      </x:c>
      <x:c r="G983" s="2" t="str">
        <x:v>SURFACE_MOUNT</x:v>
      </x:c>
      <x:c r="H983" s="2" t="str">
        <x:v>SELECTED_CATALOG_ITEM</x:v>
      </x:c>
      <x:c r="I983" s="2" t="str">
        <x:v>Не выпущено</x:v>
      </x:c>
      <x:c r="J983" s="31" t="str">
        <x:v>resistance_ohm: 10000;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983" s="31" t="str">
        <x:v>https://www.digikey.com/en/products/detail/stackpole-electronics-inc/RNCF0603BTE10K0/4250700; https://www.seielect.com/Catalog/SEI-RNCF.pdf</x:v>
      </x:c>
      <x:c r="L983" s="31" t="str"/>
    </x:row>
    <x:row r="984" ht="38" customHeight="1">
      <x:c r="A984" s="12" t="str">
        <x:v>R6202</x:v>
      </x:c>
      <x:c r="B984" s="12" t="str">
        <x:v>1k</x:v>
      </x:c>
      <x:c r="C984" s="12" t="str">
        <x:v>Да</x:v>
      </x:c>
      <x:c r="D984" s="11" t="str">
        <x:v>CRCW06031K00FKEA</x:v>
      </x:c>
      <x:c r="E984" s="12" t="str">
        <x:v>Vishay</x:v>
      </x:c>
      <x:c r="F984" s="11" t="str">
        <x:v>0603</x:v>
      </x:c>
      <x:c r="G984" s="12" t="str">
        <x:v>SURFACE_MOUNT</x:v>
      </x:c>
      <x:c r="H984" s="12" t="str">
        <x:v>SELECTED_FAMILY_CODE</x:v>
      </x:c>
      <x:c r="I984" s="12" t="str">
        <x:v>Не выпущено</x:v>
      </x:c>
      <x:c r="J984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84" s="33" t="str">
        <x:v>https://www.vishay.com/docs/20035/dcrcwe3.pdf</x:v>
      </x:c>
      <x:c r="L984" s="33" t="str"/>
    </x:row>
    <x:row r="985" ht="38" customHeight="1">
      <x:c r="A985" s="2" t="str">
        <x:v>R6203</x:v>
      </x:c>
      <x:c r="B985" s="2" t="str">
        <x:v>10k</x:v>
      </x:c>
      <x:c r="C985" s="2" t="str">
        <x:v>Да</x:v>
      </x:c>
      <x:c r="D985" s="8" t="str">
        <x:v>CRCW060310K0FKEA</x:v>
      </x:c>
      <x:c r="E985" s="2" t="str">
        <x:v>Vishay</x:v>
      </x:c>
      <x:c r="F985" s="8" t="str">
        <x:v>0603</x:v>
      </x:c>
      <x:c r="G985" s="2" t="str">
        <x:v>SURFACE_MOUNT</x:v>
      </x:c>
      <x:c r="H985" s="2" t="str">
        <x:v>SELECTED_FAMILY_CODE</x:v>
      </x:c>
      <x:c r="I985" s="2" t="str">
        <x:v>Не выпущено</x:v>
      </x:c>
      <x:c r="J985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85" s="31" t="str">
        <x:v>https://www.vishay.com/docs/20035/dcrcwe3.pdf</x:v>
      </x:c>
      <x:c r="L985" s="31" t="str"/>
    </x:row>
    <x:row r="986" ht="38" customHeight="1">
      <x:c r="A986" s="12" t="str">
        <x:v>R6204</x:v>
      </x:c>
      <x:c r="B986" s="12" t="str">
        <x:v>1M</x:v>
      </x:c>
      <x:c r="C986" s="12" t="str">
        <x:v>Да</x:v>
      </x:c>
      <x:c r="D986" s="11" t="str">
        <x:v>CRCW06031M00FKEA</x:v>
      </x:c>
      <x:c r="E986" s="12" t="str">
        <x:v>Vishay</x:v>
      </x:c>
      <x:c r="F986" s="11" t="str">
        <x:v>0603</x:v>
      </x:c>
      <x:c r="G986" s="12" t="str">
        <x:v>SURFACE_MOUNT</x:v>
      </x:c>
      <x:c r="H986" s="12" t="str">
        <x:v>SELECTED_FAMILY_CODE</x:v>
      </x:c>
      <x:c r="I986" s="12" t="str">
        <x:v>Не выпущено</x:v>
      </x:c>
      <x:c r="J986" s="33" t="str">
        <x:v>resistance_ohm: 1000000.0;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86" s="33" t="str">
        <x:v>https://www.vishay.com/docs/20035/dcrcwe3.pdf</x:v>
      </x:c>
      <x:c r="L986" s="33" t="str"/>
    </x:row>
    <x:row r="987" ht="38" customHeight="1">
      <x:c r="A987" s="2" t="str">
        <x:v>R6205</x:v>
      </x:c>
      <x:c r="B987" s="2" t="str">
        <x:v>1M</x:v>
      </x:c>
      <x:c r="C987" s="2" t="str">
        <x:v>Да</x:v>
      </x:c>
      <x:c r="D987" s="8" t="str">
        <x:v>CRCW06031M00FKEA</x:v>
      </x:c>
      <x:c r="E987" s="2" t="str">
        <x:v>Vishay</x:v>
      </x:c>
      <x:c r="F987" s="8" t="str">
        <x:v>0603</x:v>
      </x:c>
      <x:c r="G987" s="2" t="str">
        <x:v>SURFACE_MOUNT</x:v>
      </x:c>
      <x:c r="H987" s="2" t="str">
        <x:v>SELECTED_FAMILY_CODE</x:v>
      </x:c>
      <x:c r="I987" s="2" t="str">
        <x:v>Не выпущено</x:v>
      </x:c>
      <x:c r="J987" s="31" t="str">
        <x:v>resistance_ohm: 1000000.0;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87" s="31" t="str">
        <x:v>https://www.vishay.com/docs/20035/dcrcwe3.pdf</x:v>
      </x:c>
      <x:c r="L987" s="31" t="str"/>
    </x:row>
    <x:row r="988" ht="38" customHeight="1">
      <x:c r="A988" s="12" t="str">
        <x:v>R6206</x:v>
      </x:c>
      <x:c r="B988" s="12" t="str">
        <x:v>1k</x:v>
      </x:c>
      <x:c r="C988" s="12" t="str">
        <x:v>Да</x:v>
      </x:c>
      <x:c r="D988" s="11" t="str">
        <x:v>CRCW06031K00FKEA</x:v>
      </x:c>
      <x:c r="E988" s="12" t="str">
        <x:v>Vishay</x:v>
      </x:c>
      <x:c r="F988" s="11" t="str">
        <x:v>0603</x:v>
      </x:c>
      <x:c r="G988" s="12" t="str">
        <x:v>SURFACE_MOUNT</x:v>
      </x:c>
      <x:c r="H988" s="12" t="str">
        <x:v>SELECTED_FAMILY_CODE</x:v>
      </x:c>
      <x:c r="I988" s="12" t="str">
        <x:v>Не выпущено</x:v>
      </x:c>
      <x:c r="J988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88" s="33" t="str">
        <x:v>https://www.vishay.com/docs/20035/dcrcwe3.pdf</x:v>
      </x:c>
      <x:c r="L988" s="33" t="str"/>
    </x:row>
    <x:row r="989" ht="38" customHeight="1">
      <x:c r="A989" s="2" t="str">
        <x:v>R6207</x:v>
      </x:c>
      <x:c r="B989" s="2" t="str">
        <x:v>10k</x:v>
      </x:c>
      <x:c r="C989" s="2" t="str">
        <x:v>Да</x:v>
      </x:c>
      <x:c r="D989" s="8" t="str">
        <x:v>CRCW060310K0FKEA</x:v>
      </x:c>
      <x:c r="E989" s="2" t="str">
        <x:v>Vishay</x:v>
      </x:c>
      <x:c r="F989" s="8" t="str">
        <x:v>0603</x:v>
      </x:c>
      <x:c r="G989" s="2" t="str">
        <x:v>SURFACE_MOUNT</x:v>
      </x:c>
      <x:c r="H989" s="2" t="str">
        <x:v>SELECTED_FAMILY_CODE</x:v>
      </x:c>
      <x:c r="I989" s="2" t="str">
        <x:v>Не выпущено</x:v>
      </x:c>
      <x:c r="J989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89" s="31" t="str">
        <x:v>https://www.vishay.com/docs/20035/dcrcwe3.pdf</x:v>
      </x:c>
      <x:c r="L989" s="31" t="str"/>
    </x:row>
    <x:row r="990" ht="38" customHeight="1">
      <x:c r="A990" s="12" t="str">
        <x:v>R6250</x:v>
      </x:c>
      <x:c r="B990" s="12" t="str">
        <x:v>140k 0.1%</x:v>
      </x:c>
      <x:c r="C990" s="12" t="str">
        <x:v>Да</x:v>
      </x:c>
      <x:c r="D990" s="11" t="str">
        <x:v>RG2012P-1403-B-T5</x:v>
      </x:c>
      <x:c r="E990" s="12" t="str">
        <x:v>Susumu</x:v>
      </x:c>
      <x:c r="F990" s="11" t="str">
        <x:v>0805</x:v>
      </x:c>
      <x:c r="G990" s="12" t="str">
        <x:v>SURFACE_MOUNT</x:v>
      </x:c>
      <x:c r="H990" s="12" t="str">
        <x:v>SELECTED_CATALOG_ITEM</x:v>
      </x:c>
      <x:c r="I990" s="12" t="str">
        <x:v>Не выпущено</x:v>
      </x:c>
      <x:c r="J990" s="33" t="str">
        <x:v>resistance_ohm: 140000; tolerance_pct: 0.1; tcr_ppm_c: 25; power_w: 0.125; working_voltage_v: 150; temperature_min_c: -55; temperature_max_c: 155; technology: thin film; aec_q200: True; derating: Use manufacturer power versus ambient/terminal temperature curve; PCB thermal and fault pulse envelope not qualified.</x:v>
      </x:c>
      <x:c r="K990" s="33" t="str">
        <x:v>https://www.digikey.com/en/products/detail/susumu/RG2012P-1403-B-T5/1241065</x:v>
      </x:c>
      <x:c r="L990" s="33" t="str"/>
    </x:row>
    <x:row r="991" ht="38" customHeight="1">
      <x:c r="A991" s="2" t="str">
        <x:v>R6251</x:v>
      </x:c>
      <x:c r="B991" s="2" t="str">
        <x:v>10k 0.1%</x:v>
      </x:c>
      <x:c r="C991" s="2" t="str">
        <x:v>Да</x:v>
      </x:c>
      <x:c r="D991" s="8" t="str">
        <x:v>RNCF0603BTE10K0</x:v>
      </x:c>
      <x:c r="E991" s="2" t="str">
        <x:v>Stackpole Electronics</x:v>
      </x:c>
      <x:c r="F991" s="8" t="str">
        <x:v>0603</x:v>
      </x:c>
      <x:c r="G991" s="2" t="str">
        <x:v>SURFACE_MOUNT</x:v>
      </x:c>
      <x:c r="H991" s="2" t="str">
        <x:v>SELECTED_CATALOG_ITEM</x:v>
      </x:c>
      <x:c r="I991" s="2" t="str">
        <x:v>Не выпущено</x:v>
      </x:c>
      <x:c r="J991" s="31" t="str">
        <x:v>resistance_ohm: 10000; tolerance_pct: 0.1; tcr_ppm_c: 25; power_w: 0.167; working_voltage_v: 75; power_reference_temperature_c: 70; temperature_min_c: -55; temperature_max_c: 155; technology: thin film; aec_q200: True; derating: Use manufacturer power versus ambient/terminal temperature curve; PCB thermal and fault pulse envelope not qualified.</x:v>
      </x:c>
      <x:c r="K991" s="31" t="str">
        <x:v>https://www.digikey.com/en/products/detail/stackpole-electronics-inc/RNCF0603BTE10K0/4250700; https://www.seielect.com/Catalog/SEI-RNCF.pdf</x:v>
      </x:c>
      <x:c r="L991" s="31" t="str"/>
    </x:row>
    <x:row r="992" ht="38" customHeight="1">
      <x:c r="A992" s="12" t="str">
        <x:v>R6252</x:v>
      </x:c>
      <x:c r="B992" s="12" t="str">
        <x:v>1k</x:v>
      </x:c>
      <x:c r="C992" s="12" t="str">
        <x:v>Да</x:v>
      </x:c>
      <x:c r="D992" s="11" t="str">
        <x:v>CRCW06031K00FKEA</x:v>
      </x:c>
      <x:c r="E992" s="12" t="str">
        <x:v>Vishay</x:v>
      </x:c>
      <x:c r="F992" s="11" t="str">
        <x:v>0603</x:v>
      </x:c>
      <x:c r="G992" s="12" t="str">
        <x:v>SURFACE_MOUNT</x:v>
      </x:c>
      <x:c r="H992" s="12" t="str">
        <x:v>SELECTED_FAMILY_CODE</x:v>
      </x:c>
      <x:c r="I992" s="12" t="str">
        <x:v>Не выпущено</x:v>
      </x:c>
      <x:c r="J992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92" s="33" t="str">
        <x:v>https://www.vishay.com/docs/20035/dcrcwe3.pdf</x:v>
      </x:c>
      <x:c r="L992" s="33" t="str"/>
    </x:row>
    <x:row r="993" ht="38" customHeight="1">
      <x:c r="A993" s="2" t="str">
        <x:v>R6253</x:v>
      </x:c>
      <x:c r="B993" s="2" t="str">
        <x:v>10k</x:v>
      </x:c>
      <x:c r="C993" s="2" t="str">
        <x:v>Да</x:v>
      </x:c>
      <x:c r="D993" s="8" t="str">
        <x:v>CRCW060310K0FKEA</x:v>
      </x:c>
      <x:c r="E993" s="2" t="str">
        <x:v>Vishay</x:v>
      </x:c>
      <x:c r="F993" s="8" t="str">
        <x:v>0603</x:v>
      </x:c>
      <x:c r="G993" s="2" t="str">
        <x:v>SURFACE_MOUNT</x:v>
      </x:c>
      <x:c r="H993" s="2" t="str">
        <x:v>SELECTED_FAMILY_CODE</x:v>
      </x:c>
      <x:c r="I993" s="2" t="str">
        <x:v>Не выпущено</x:v>
      </x:c>
      <x:c r="J993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93" s="31" t="str">
        <x:v>https://www.vishay.com/docs/20035/dcrcwe3.pdf</x:v>
      </x:c>
      <x:c r="L993" s="31" t="str"/>
    </x:row>
    <x:row r="994" ht="38" customHeight="1">
      <x:c r="A994" s="12" t="str">
        <x:v>R6254</x:v>
      </x:c>
      <x:c r="B994" s="12" t="str">
        <x:v>1M</x:v>
      </x:c>
      <x:c r="C994" s="12" t="str">
        <x:v>Да</x:v>
      </x:c>
      <x:c r="D994" s="11" t="str">
        <x:v>CRCW06031M00FKEA</x:v>
      </x:c>
      <x:c r="E994" s="12" t="str">
        <x:v>Vishay</x:v>
      </x:c>
      <x:c r="F994" s="11" t="str">
        <x:v>0603</x:v>
      </x:c>
      <x:c r="G994" s="12" t="str">
        <x:v>SURFACE_MOUNT</x:v>
      </x:c>
      <x:c r="H994" s="12" t="str">
        <x:v>SELECTED_FAMILY_CODE</x:v>
      </x:c>
      <x:c r="I994" s="12" t="str">
        <x:v>Не выпущено</x:v>
      </x:c>
      <x:c r="J994" s="33" t="str">
        <x:v>resistance_ohm: 1000000.0;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94" s="33" t="str">
        <x:v>https://www.vishay.com/docs/20035/dcrcwe3.pdf</x:v>
      </x:c>
      <x:c r="L994" s="33" t="str"/>
    </x:row>
    <x:row r="995" ht="38" customHeight="1">
      <x:c r="A995" s="2" t="str">
        <x:v>R6255</x:v>
      </x:c>
      <x:c r="B995" s="2" t="str">
        <x:v>1M</x:v>
      </x:c>
      <x:c r="C995" s="2" t="str">
        <x:v>Да</x:v>
      </x:c>
      <x:c r="D995" s="8" t="str">
        <x:v>CRCW06031M00FKEA</x:v>
      </x:c>
      <x:c r="E995" s="2" t="str">
        <x:v>Vishay</x:v>
      </x:c>
      <x:c r="F995" s="8" t="str">
        <x:v>0603</x:v>
      </x:c>
      <x:c r="G995" s="2" t="str">
        <x:v>SURFACE_MOUNT</x:v>
      </x:c>
      <x:c r="H995" s="2" t="str">
        <x:v>SELECTED_FAMILY_CODE</x:v>
      </x:c>
      <x:c r="I995" s="2" t="str">
        <x:v>Не выпущено</x:v>
      </x:c>
      <x:c r="J995" s="31" t="str">
        <x:v>resistance_ohm: 1000000.0;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95" s="31" t="str">
        <x:v>https://www.vishay.com/docs/20035/dcrcwe3.pdf</x:v>
      </x:c>
      <x:c r="L995" s="31" t="str"/>
    </x:row>
    <x:row r="996" ht="38" customHeight="1">
      <x:c r="A996" s="12" t="str">
        <x:v>R6256</x:v>
      </x:c>
      <x:c r="B996" s="12" t="str">
        <x:v>1k</x:v>
      </x:c>
      <x:c r="C996" s="12" t="str">
        <x:v>Да</x:v>
      </x:c>
      <x:c r="D996" s="11" t="str">
        <x:v>CRCW06031K00FKEA</x:v>
      </x:c>
      <x:c r="E996" s="12" t="str">
        <x:v>Vishay</x:v>
      </x:c>
      <x:c r="F996" s="11" t="str">
        <x:v>0603</x:v>
      </x:c>
      <x:c r="G996" s="12" t="str">
        <x:v>SURFACE_MOUNT</x:v>
      </x:c>
      <x:c r="H996" s="12" t="str">
        <x:v>SELECTED_FAMILY_CODE</x:v>
      </x:c>
      <x:c r="I996" s="12" t="str">
        <x:v>Не выпущено</x:v>
      </x:c>
      <x:c r="J996" s="33" t="str">
        <x:v>resistance_ohm: 1000.0;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96" s="33" t="str">
        <x:v>https://www.vishay.com/docs/20035/dcrcwe3.pdf</x:v>
      </x:c>
      <x:c r="L996" s="33" t="str"/>
    </x:row>
    <x:row r="997" ht="38" customHeight="1">
      <x:c r="A997" s="2" t="str">
        <x:v>R6257</x:v>
      </x:c>
      <x:c r="B997" s="2" t="str">
        <x:v>10k</x:v>
      </x:c>
      <x:c r="C997" s="2" t="str">
        <x:v>Да</x:v>
      </x:c>
      <x:c r="D997" s="8" t="str">
        <x:v>CRCW060310K0FKEA</x:v>
      </x:c>
      <x:c r="E997" s="2" t="str">
        <x:v>Vishay</x:v>
      </x:c>
      <x:c r="F997" s="8" t="str">
        <x:v>0603</x:v>
      </x:c>
      <x:c r="G997" s="2" t="str">
        <x:v>SURFACE_MOUNT</x:v>
      </x:c>
      <x:c r="H997" s="2" t="str">
        <x:v>SELECTED_FAMILY_CODE</x:v>
      </x:c>
      <x:c r="I997" s="2" t="str">
        <x:v>Не выпущено</x:v>
      </x:c>
      <x:c r="J997" s="31" t="str">
        <x:v>resistance_ohm: 10000.0; tolerance_pct: 1; tcr_ppm_c: 100; power_w: 0.1; working_voltage_v: 75; power_reference_temperature_c: 70; temperature_min_c: -55; temperature_max_c: 155; technology: thick film; aec_q200: True; derating: Use manufacturer power versus ambient/terminal temperature curve; PCB thermal and fault pulse envelope not qualified.</x:v>
      </x:c>
      <x:c r="K997" s="31" t="str">
        <x:v>https://www.vishay.com/docs/20035/dcrcwe3.pdf</x:v>
      </x:c>
      <x:c r="L997" s="31" t="str"/>
    </x:row>
    <x:row r="998" ht="38" customHeight="1">
      <x:c r="A998" s="12" t="str">
        <x:v>R6500</x:v>
      </x:c>
      <x:c r="B998" s="12" t="str">
        <x:v>0R</x:v>
      </x:c>
      <x:c r="C998" s="12" t="str">
        <x:v>Да</x:v>
      </x:c>
      <x:c r="D998" s="11" t="str">
        <x:v>CRCW06030000Z0EA</x:v>
      </x:c>
      <x:c r="E998" s="12" t="str">
        <x:v>Vishay</x:v>
      </x:c>
      <x:c r="F998" s="11" t="str">
        <x:v>0603</x:v>
      </x:c>
      <x:c r="G998" s="12" t="str">
        <x:v>SURFACE_MOUNT</x:v>
      </x:c>
      <x:c r="H998" s="12" t="str">
        <x:v>SELECTED_FAMILY_CODE</x:v>
      </x:c>
      <x:c r="I998" s="12" t="str">
        <x:v>Не выпущено</x:v>
      </x:c>
      <x:c r="J998" s="33" t="str">
        <x:v>resistance_ohm: 0.0; tolerance_pct: None; tcr_ppm_c: None; power_w: 0.1; working_voltage_v: 75; power_reference_temperature_c: 70; temperature_min_c: -55; temperature_max_c: 155; technology: jumper; aec_q200: True; current_a: 2</x:v>
      </x:c>
      <x:c r="K998" s="33" t="str">
        <x:v>https://www.vishay.com/docs/20035/dcrcwe3.pdf</x:v>
      </x:c>
      <x:c r="L998" s="33" t="str"/>
    </x:row>
    <x:row r="999" ht="38" customHeight="1">
      <x:c r="A999" s="2" t="str">
        <x:v>TP201</x:v>
      </x:c>
      <x:c r="B999" s="2" t="str">
        <x:v>TestPoint</x:v>
      </x:c>
      <x:c r="C999" s="2" t="str">
        <x:v>Элемент PCB</x:v>
      </x:c>
      <x:c r="D999" s="8" t="str"/>
      <x:c r="E999" s="2" t="str"/>
      <x:c r="F999" s="8" t="str">
        <x:v>Power8GDI_GDI:REF_S1</x:v>
      </x:c>
      <x:c r="G999" s="2" t="str">
        <x:v>BARE_PCB_FEATURE</x:v>
      </x:c>
      <x:c r="H999" s="2" t="str">
        <x:v>Исключено из закупки</x:v>
      </x:c>
      <x:c r="I999" s="2" t="str">
        <x:v>Нет</x:v>
      </x:c>
      <x:c r="J999" s="31" t="str"/>
      <x:c r="K999" s="31" t="str"/>
      <x:c r="L999" s="31" t="str"/>
    </x:row>
    <x:row r="1000" ht="38" customHeight="1">
      <x:c r="A1000" s="12" t="str">
        <x:v>TP202</x:v>
      </x:c>
      <x:c r="B1000" s="12" t="str">
        <x:v>TestPoint</x:v>
      </x:c>
      <x:c r="C1000" s="12" t="str">
        <x:v>Элемент PCB</x:v>
      </x:c>
      <x:c r="D1000" s="11" t="str"/>
      <x:c r="E1000" s="12" t="str"/>
      <x:c r="F1000" s="11" t="str">
        <x:v>Power8GDI_GDI:REF_S2</x:v>
      </x:c>
      <x:c r="G1000" s="12" t="str">
        <x:v>BARE_PCB_FEATURE</x:v>
      </x:c>
      <x:c r="H1000" s="12" t="str">
        <x:v>Исключено из закупки</x:v>
      </x:c>
      <x:c r="I1000" s="12" t="str">
        <x:v>Нет</x:v>
      </x:c>
      <x:c r="J1000" s="33" t="str"/>
      <x:c r="K1000" s="33" t="str"/>
      <x:c r="L1000" s="33" t="str"/>
    </x:row>
    <x:row r="1001" ht="38" customHeight="1">
      <x:c r="A1001" s="2" t="str">
        <x:v>TP203</x:v>
      </x:c>
      <x:c r="B1001" s="2" t="str">
        <x:v>TestPoint</x:v>
      </x:c>
      <x:c r="C1001" s="2" t="str">
        <x:v>Элемент PCB</x:v>
      </x:c>
      <x:c r="D1001" s="8" t="str"/>
      <x:c r="E1001" s="2" t="str"/>
      <x:c r="F1001" s="8" t="str">
        <x:v>Power8GDI_GDI:REF_S3</x:v>
      </x:c>
      <x:c r="G1001" s="2" t="str">
        <x:v>BARE_PCB_FEATURE</x:v>
      </x:c>
      <x:c r="H1001" s="2" t="str">
        <x:v>Исключено из закупки</x:v>
      </x:c>
      <x:c r="I1001" s="2" t="str">
        <x:v>Нет</x:v>
      </x:c>
      <x:c r="J1001" s="31" t="str"/>
      <x:c r="K1001" s="31" t="str"/>
      <x:c r="L1001" s="31" t="str"/>
    </x:row>
    <x:row r="1002" ht="38" customHeight="1">
      <x:c r="A1002" s="12" t="str">
        <x:v>TP205</x:v>
      </x:c>
      <x:c r="B1002" s="12" t="str">
        <x:v>TestPoint</x:v>
      </x:c>
      <x:c r="C1002" s="12" t="str">
        <x:v>Элемент PCB</x:v>
      </x:c>
      <x:c r="D1002" s="11" t="str"/>
      <x:c r="E1002" s="12" t="str"/>
      <x:c r="F1002" s="11" t="str">
        <x:v>Power8GDI_GDI:REF_S5</x:v>
      </x:c>
      <x:c r="G1002" s="12" t="str">
        <x:v>BARE_PCB_FEATURE</x:v>
      </x:c>
      <x:c r="H1002" s="12" t="str">
        <x:v>Исключено из закупки</x:v>
      </x:c>
      <x:c r="I1002" s="12" t="str">
        <x:v>Нет</x:v>
      </x:c>
      <x:c r="J1002" s="33" t="str"/>
      <x:c r="K1002" s="33" t="str"/>
      <x:c r="L1002" s="33" t="str"/>
    </x:row>
    <x:row r="1003" ht="38" customHeight="1">
      <x:c r="A1003" s="2" t="str">
        <x:v>TP206</x:v>
      </x:c>
      <x:c r="B1003" s="2" t="str">
        <x:v>TestPoint</x:v>
      </x:c>
      <x:c r="C1003" s="2" t="str">
        <x:v>Элемент PCB</x:v>
      </x:c>
      <x:c r="D1003" s="8" t="str"/>
      <x:c r="E1003" s="2" t="str"/>
      <x:c r="F1003" s="8" t="str">
        <x:v>Power8GDI_GDI:REF_S6</x:v>
      </x:c>
      <x:c r="G1003" s="2" t="str">
        <x:v>BARE_PCB_FEATURE</x:v>
      </x:c>
      <x:c r="H1003" s="2" t="str">
        <x:v>Исключено из закупки</x:v>
      </x:c>
      <x:c r="I1003" s="2" t="str">
        <x:v>Нет</x:v>
      </x:c>
      <x:c r="J1003" s="31" t="str"/>
      <x:c r="K1003" s="31" t="str"/>
      <x:c r="L1003" s="31" t="str"/>
    </x:row>
    <x:row r="1004" ht="38" customHeight="1">
      <x:c r="A1004" s="12" t="str">
        <x:v>TP301</x:v>
      </x:c>
      <x:c r="B1004" s="12" t="str">
        <x:v>TestPoint</x:v>
      </x:c>
      <x:c r="C1004" s="12" t="str">
        <x:v>Элемент PCB</x:v>
      </x:c>
      <x:c r="D1004" s="11" t="str"/>
      <x:c r="E1004" s="12" t="str"/>
      <x:c r="F1004" s="11" t="str">
        <x:v>Power8GDI_GDI:REF_S1</x:v>
      </x:c>
      <x:c r="G1004" s="12" t="str">
        <x:v>BARE_PCB_FEATURE</x:v>
      </x:c>
      <x:c r="H1004" s="12" t="str">
        <x:v>Исключено из закупки</x:v>
      </x:c>
      <x:c r="I1004" s="12" t="str">
        <x:v>Нет</x:v>
      </x:c>
      <x:c r="J1004" s="33" t="str"/>
      <x:c r="K1004" s="33" t="str"/>
      <x:c r="L1004" s="33" t="str"/>
    </x:row>
    <x:row r="1005" ht="38" customHeight="1">
      <x:c r="A1005" s="2" t="str">
        <x:v>TP302</x:v>
      </x:c>
      <x:c r="B1005" s="2" t="str">
        <x:v>TestPoint</x:v>
      </x:c>
      <x:c r="C1005" s="2" t="str">
        <x:v>Элемент PCB</x:v>
      </x:c>
      <x:c r="D1005" s="8" t="str"/>
      <x:c r="E1005" s="2" t="str"/>
      <x:c r="F1005" s="8" t="str">
        <x:v>Power8GDI_GDI:REF_S2</x:v>
      </x:c>
      <x:c r="G1005" s="2" t="str">
        <x:v>BARE_PCB_FEATURE</x:v>
      </x:c>
      <x:c r="H1005" s="2" t="str">
        <x:v>Исключено из закупки</x:v>
      </x:c>
      <x:c r="I1005" s="2" t="str">
        <x:v>Нет</x:v>
      </x:c>
      <x:c r="J1005" s="31" t="str"/>
      <x:c r="K1005" s="31" t="str"/>
      <x:c r="L1005" s="31" t="str"/>
    </x:row>
    <x:row r="1006" ht="38" customHeight="1">
      <x:c r="A1006" s="12" t="str">
        <x:v>TP303</x:v>
      </x:c>
      <x:c r="B1006" s="12" t="str">
        <x:v>TestPoint</x:v>
      </x:c>
      <x:c r="C1006" s="12" t="str">
        <x:v>Элемент PCB</x:v>
      </x:c>
      <x:c r="D1006" s="11" t="str"/>
      <x:c r="E1006" s="12" t="str"/>
      <x:c r="F1006" s="11" t="str">
        <x:v>Power8GDI_GDI:REF_S3</x:v>
      </x:c>
      <x:c r="G1006" s="12" t="str">
        <x:v>BARE_PCB_FEATURE</x:v>
      </x:c>
      <x:c r="H1006" s="12" t="str">
        <x:v>Исключено из закупки</x:v>
      </x:c>
      <x:c r="I1006" s="12" t="str">
        <x:v>Нет</x:v>
      </x:c>
      <x:c r="J1006" s="33" t="str"/>
      <x:c r="K1006" s="33" t="str"/>
      <x:c r="L1006" s="33" t="str"/>
    </x:row>
    <x:row r="1007" ht="38" customHeight="1">
      <x:c r="A1007" s="2" t="str">
        <x:v>TP305</x:v>
      </x:c>
      <x:c r="B1007" s="2" t="str">
        <x:v>TestPoint</x:v>
      </x:c>
      <x:c r="C1007" s="2" t="str">
        <x:v>Элемент PCB</x:v>
      </x:c>
      <x:c r="D1007" s="8" t="str"/>
      <x:c r="E1007" s="2" t="str"/>
      <x:c r="F1007" s="8" t="str">
        <x:v>Power8GDI_GDI:REF_S5</x:v>
      </x:c>
      <x:c r="G1007" s="2" t="str">
        <x:v>BARE_PCB_FEATURE</x:v>
      </x:c>
      <x:c r="H1007" s="2" t="str">
        <x:v>Исключено из закупки</x:v>
      </x:c>
      <x:c r="I1007" s="2" t="str">
        <x:v>Нет</x:v>
      </x:c>
      <x:c r="J1007" s="31" t="str"/>
      <x:c r="K1007" s="31" t="str"/>
      <x:c r="L1007" s="31" t="str"/>
    </x:row>
    <x:row r="1008" ht="38" customHeight="1">
      <x:c r="A1008" s="12" t="str">
        <x:v>TP306</x:v>
      </x:c>
      <x:c r="B1008" s="12" t="str">
        <x:v>TestPoint</x:v>
      </x:c>
      <x:c r="C1008" s="12" t="str">
        <x:v>Элемент PCB</x:v>
      </x:c>
      <x:c r="D1008" s="11" t="str"/>
      <x:c r="E1008" s="12" t="str"/>
      <x:c r="F1008" s="11" t="str">
        <x:v>Power8GDI_GDI:REF_S6</x:v>
      </x:c>
      <x:c r="G1008" s="12" t="str">
        <x:v>BARE_PCB_FEATURE</x:v>
      </x:c>
      <x:c r="H1008" s="12" t="str">
        <x:v>Исключено из закупки</x:v>
      </x:c>
      <x:c r="I1008" s="12" t="str">
        <x:v>Нет</x:v>
      </x:c>
      <x:c r="J1008" s="33" t="str"/>
      <x:c r="K1008" s="33" t="str"/>
      <x:c r="L1008" s="33" t="str"/>
    </x:row>
    <x:row r="1009" ht="38" customHeight="1">
      <x:c r="A1009" s="2" t="str">
        <x:v>U101</x:v>
      </x:c>
      <x:c r="B1009" s="2" t="str">
        <x:v>STM32F767IIT6</x:v>
      </x:c>
      <x:c r="C1009" s="2" t="str">
        <x:v>Да</x:v>
      </x:c>
      <x:c r="D1009" s="8" t="str">
        <x:v>STM32F767IIT6</x:v>
      </x:c>
      <x:c r="E1009" s="2" t="str">
        <x:v>STMicroelectronics</x:v>
      </x:c>
      <x:c r="F1009" s="8" t="str">
        <x:v>LQFP-176_24x24mm_P0.5mm</x:v>
      </x:c>
      <x:c r="G1009" s="2" t="str">
        <x:v>SURFACE_MOUNT</x:v>
      </x:c>
      <x:c r="H1009" s="2" t="str">
        <x:v>REFERENCE_MPN_RETAINED</x:v>
      </x:c>
      <x:c r="I1009" s="2" t="str">
        <x:v>Не выпущено</x:v>
      </x:c>
      <x:c r="J1009" s="31" t="str"/>
      <x:c r="K1009" s="31" t="str">
        <x:v>https://www.st.com/en/search.html#q=STM32F767IIT6</x:v>
      </x:c>
      <x:c r="L1009" s="31" t="str">
        <x:v>Existing schematic MPN retained. Complete circuit rating/temperature and package signoff is still required.</x:v>
      </x:c>
    </x:row>
    <x:row r="1010" ht="38" customHeight="1">
      <x:c r="A1010" s="12" t="str">
        <x:v>U103</x:v>
      </x:c>
      <x:c r="B1010" s="12" t="str">
        <x:v>TCAN1042HGVDRQ1</x:v>
      </x:c>
      <x:c r="C1010" s="12" t="str">
        <x:v>Да</x:v>
      </x:c>
      <x:c r="D1010" s="11" t="str">
        <x:v>TCAN1042HGVDRQ1</x:v>
      </x:c>
      <x:c r="E1010" s="12" t="str">
        <x:v>Texas Instruments</x:v>
      </x:c>
      <x:c r="F1010" s="11" t="str">
        <x:v>SOIC-8_3.9x4.9mm_P1.27mm</x:v>
      </x:c>
      <x:c r="G1010" s="12" t="str">
        <x:v>SURFACE_MOUNT</x:v>
      </x:c>
      <x:c r="H1010" s="12" t="str">
        <x:v>REFERENCE_MPN_RETAINED</x:v>
      </x:c>
      <x:c r="I1010" s="12" t="str">
        <x:v>Не выпущено</x:v>
      </x:c>
      <x:c r="J1010" s="33" t="str"/>
      <x:c r="K1010" s="33" t="str">
        <x:v>https://www.ti.com/product/TCAN1042H-Q1/part-details/TCAN1042HGVDRQ1</x:v>
      </x:c>
      <x:c r="L1010" s="33" t="str">
        <x:v>Existing schematic MPN retained. Complete circuit rating/temperature and package signoff is still required.</x:v>
      </x:c>
    </x:row>
    <x:row r="1011" ht="38" customHeight="1">
      <x:c r="A1011" s="2" t="str">
        <x:v>U104</x:v>
      </x:c>
      <x:c r="B1011" s="2" t="str">
        <x:v>TLIN1029ADRQ1</x:v>
      </x:c>
      <x:c r="C1011" s="2" t="str">
        <x:v>Да</x:v>
      </x:c>
      <x:c r="D1011" s="8" t="str">
        <x:v>TLIN1029ADRQ1</x:v>
      </x:c>
      <x:c r="E1011" s="2" t="str">
        <x:v>Texas Instruments</x:v>
      </x:c>
      <x:c r="F1011" s="8" t="str">
        <x:v>SOIC-8_3.9x4.9mm_P1.27mm</x:v>
      </x:c>
      <x:c r="G1011" s="2" t="str">
        <x:v>SURFACE_MOUNT</x:v>
      </x:c>
      <x:c r="H1011" s="2" t="str">
        <x:v>REFERENCE_MPN_RETAINED</x:v>
      </x:c>
      <x:c r="I1011" s="2" t="str">
        <x:v>Не выпущено</x:v>
      </x:c>
      <x:c r="J1011" s="31" t="str"/>
      <x:c r="K1011" s="31" t="str">
        <x:v>https://www.ti.com/product/TLIN1029A-Q1/part-details/TLIN1029ADRQ1</x:v>
      </x:c>
      <x:c r="L1011" s="31" t="str">
        <x:v>Existing schematic MPN retained. Complete circuit rating/temperature and package signoff is still required.</x:v>
      </x:c>
    </x:row>
    <x:row r="1012" ht="38" customHeight="1">
      <x:c r="A1012" s="12" t="str">
        <x:v>U201</x:v>
      </x:c>
      <x:c r="B1012" s="12" t="str">
        <x:v>MC33PT2001AE</x:v>
      </x:c>
      <x:c r="C1012" s="12" t="str">
        <x:v>Да</x:v>
      </x:c>
      <x:c r="D1012" s="11" t="str">
        <x:v>MC33PT2001AE</x:v>
      </x:c>
      <x:c r="E1012" s="12" t="str">
        <x:v>NXP Semiconductors</x:v>
      </x:c>
      <x:c r="F1012" s="11" t="str">
        <x:v>LQFP-64-1EP_10x10mm_P0.5mm_EP5x5mm_ThermalVias</x:v>
      </x:c>
      <x:c r="G1012" s="12" t="str">
        <x:v>SURFACE_MOUNT</x:v>
      </x:c>
      <x:c r="H1012" s="12" t="str">
        <x:v>SELECTED_CONDITIONAL</x:v>
      </x:c>
      <x:c r="I1012" s="12" t="str">
        <x:v>Не выпущено</x:v>
      </x:c>
      <x:c r="J1012" s="33" t="str">
        <x:v>vboost_max_v: 72; end_of_injection_detection: False; manufacturer_package: HLQFP64 SOT1510-1; body_mm: [10, 10, 1.4]; pitch_mm: 0.5; exposed_pad_mm: [4.9, 4.9]</x:v>
      </x:c>
      <x:c r="K1012" s="33" t="str">
        <x:v>https://www.nxp.com/docs/en/data-sheet/MC33PT2001_SDS.pdf</x:v>
      </x:c>
      <x:c r="L1012" s="33" t="str">
        <x:v>AE72V version retained. Do not infer HAE80V limits. Validate boost clamp overshoot and all gate/current timing on hardware.</x:v>
      </x:c>
    </x:row>
    <x:row r="1013" ht="38" customHeight="1">
      <x:c r="A1013" s="2" t="str">
        <x:v>U249</x:v>
      </x:c>
      <x:c r="B1013" s="2" t="str">
        <x:v>NCV78M05ABDTRKG</x:v>
      </x:c>
      <x:c r="C1013" s="2" t="str">
        <x:v>Да</x:v>
      </x:c>
      <x:c r="D1013" s="8" t="str">
        <x:v>NCV78M05ABDTRKG</x:v>
      </x:c>
      <x:c r="E1013" s="2" t="str">
        <x:v>onsemi</x:v>
      </x:c>
      <x:c r="F1013" s="8" t="str">
        <x:v>TO-252-2</x:v>
      </x:c>
      <x:c r="G1013" s="2" t="str">
        <x:v>SURFACE_MOUNT</x:v>
      </x:c>
      <x:c r="H1013" s="2" t="str">
        <x:v>REFERENCE_MPN_RETAINED</x:v>
      </x:c>
      <x:c r="I1013" s="2" t="str">
        <x:v>Не выпущено</x:v>
      </x:c>
      <x:c r="J1013" s="31" t="str"/>
      <x:c r="K1013" s="31" t="str">
        <x:v>https://www.onsemi.com/pdf/datasheet/mc78m00-d.pdf</x:v>
      </x:c>
      <x:c r="L1013" s="31" t="str">
        <x:v>Existing schematic MPN retained. Complete circuit rating/temperature and package signoff is still required.</x:v>
      </x:c>
    </x:row>
    <x:row r="1014" ht="38" customHeight="1">
      <x:c r="A1014" s="12" t="str">
        <x:v>U301</x:v>
      </x:c>
      <x:c r="B1014" s="12" t="str">
        <x:v>MC33PT2001AE</x:v>
      </x:c>
      <x:c r="C1014" s="12" t="str">
        <x:v>Да</x:v>
      </x:c>
      <x:c r="D1014" s="11" t="str">
        <x:v>MC33PT2001AE</x:v>
      </x:c>
      <x:c r="E1014" s="12" t="str">
        <x:v>NXP Semiconductors</x:v>
      </x:c>
      <x:c r="F1014" s="11" t="str">
        <x:v>LQFP-64-1EP_10x10mm_P0.5mm_EP5x5mm_ThermalVias</x:v>
      </x:c>
      <x:c r="G1014" s="12" t="str">
        <x:v>SURFACE_MOUNT</x:v>
      </x:c>
      <x:c r="H1014" s="12" t="str">
        <x:v>SELECTED_CONDITIONAL</x:v>
      </x:c>
      <x:c r="I1014" s="12" t="str">
        <x:v>Не выпущено</x:v>
      </x:c>
      <x:c r="J1014" s="33" t="str">
        <x:v>vboost_max_v: 72; end_of_injection_detection: False; manufacturer_package: HLQFP64 SOT1510-1; body_mm: [10, 10, 1.4]; pitch_mm: 0.5; exposed_pad_mm: [4.9, 4.9]</x:v>
      </x:c>
      <x:c r="K1014" s="33" t="str">
        <x:v>https://www.nxp.com/docs/en/data-sheet/MC33PT2001_SDS.pdf</x:v>
      </x:c>
      <x:c r="L1014" s="33" t="str">
        <x:v>AE72V version retained. Do not infer HAE80V limits. Validate boost clamp overshoot and all gate/current timing on hardware.</x:v>
      </x:c>
    </x:row>
    <x:row r="1015" ht="38" customHeight="1">
      <x:c r="A1015" s="2" t="str">
        <x:v>U349</x:v>
      </x:c>
      <x:c r="B1015" s="2" t="str">
        <x:v>NCV78M05ABDTRKG</x:v>
      </x:c>
      <x:c r="C1015" s="2" t="str">
        <x:v>Да</x:v>
      </x:c>
      <x:c r="D1015" s="8" t="str">
        <x:v>NCV78M05ABDTRKG</x:v>
      </x:c>
      <x:c r="E1015" s="2" t="str">
        <x:v>onsemi</x:v>
      </x:c>
      <x:c r="F1015" s="8" t="str">
        <x:v>TO-252-2</x:v>
      </x:c>
      <x:c r="G1015" s="2" t="str">
        <x:v>SURFACE_MOUNT</x:v>
      </x:c>
      <x:c r="H1015" s="2" t="str">
        <x:v>REFERENCE_MPN_RETAINED</x:v>
      </x:c>
      <x:c r="I1015" s="2" t="str">
        <x:v>Не выпущено</x:v>
      </x:c>
      <x:c r="J1015" s="31" t="str"/>
      <x:c r="K1015" s="31" t="str">
        <x:v>https://www.onsemi.com/pdf/datasheet/mc78m00-d.pdf</x:v>
      </x:c>
      <x:c r="L1015" s="31" t="str">
        <x:v>Existing schematic MPN retained. Complete circuit rating/temperature and package signoff is still required.</x:v>
      </x:c>
    </x:row>
    <x:row r="1016" ht="38" customHeight="1">
      <x:c r="A1016" s="12" t="str">
        <x:v>U701</x:v>
      </x:c>
      <x:c r="B1016" s="12" t="str">
        <x:v>TLV9004QPWRQ1</x:v>
      </x:c>
      <x:c r="C1016" s="12" t="str">
        <x:v>Да</x:v>
      </x:c>
      <x:c r="D1016" s="11" t="str">
        <x:v>TLV9004QPWRQ1</x:v>
      </x:c>
      <x:c r="E1016" s="12" t="str">
        <x:v>Texas Instruments</x:v>
      </x:c>
      <x:c r="F1016" s="11" t="str">
        <x:v>TSSOP-14_4.4x5mm_P0.65mm</x:v>
      </x:c>
      <x:c r="G1016" s="12" t="str">
        <x:v>SURFACE_MOUNT</x:v>
      </x:c>
      <x:c r="H1016" s="12" t="str">
        <x:v>REFERENCE_MPN_RETAINED</x:v>
      </x:c>
      <x:c r="I1016" s="12" t="str">
        <x:v>Не выпущено</x:v>
      </x:c>
      <x:c r="J1016" s="33" t="str"/>
      <x:c r="K1016" s="33" t="str">
        <x:v>https://www.ti.com/product/TLV9004-Q1/part-details/TLV9004QPWRQ1</x:v>
      </x:c>
      <x:c r="L1016" s="33" t="str">
        <x:v>Existing schematic MPN retained. Complete circuit rating/temperature and package signoff is still required.</x:v>
      </x:c>
    </x:row>
    <x:row r="1017" ht="38" customHeight="1">
      <x:c r="A1017" s="2" t="str">
        <x:v>U702</x:v>
      </x:c>
      <x:c r="B1017" s="2" t="str">
        <x:v>TLV9004QPWRQ1</x:v>
      </x:c>
      <x:c r="C1017" s="2" t="str">
        <x:v>Да</x:v>
      </x:c>
      <x:c r="D1017" s="8" t="str">
        <x:v>TLV9004QPWRQ1</x:v>
      </x:c>
      <x:c r="E1017" s="2" t="str">
        <x:v>Texas Instruments</x:v>
      </x:c>
      <x:c r="F1017" s="8" t="str">
        <x:v>TSSOP-14_4.4x5mm_P0.65mm</x:v>
      </x:c>
      <x:c r="G1017" s="2" t="str">
        <x:v>SURFACE_MOUNT</x:v>
      </x:c>
      <x:c r="H1017" s="2" t="str">
        <x:v>REFERENCE_MPN_RETAINED</x:v>
      </x:c>
      <x:c r="I1017" s="2" t="str">
        <x:v>Не выпущено</x:v>
      </x:c>
      <x:c r="J1017" s="31" t="str"/>
      <x:c r="K1017" s="31" t="str">
        <x:v>https://www.ti.com/product/TLV9004-Q1/part-details/TLV9004QPWRQ1</x:v>
      </x:c>
      <x:c r="L1017" s="31" t="str">
        <x:v>Existing schematic MPN retained. Complete circuit rating/temperature and package signoff is still required.</x:v>
      </x:c>
    </x:row>
    <x:row r="1018" ht="38" customHeight="1">
      <x:c r="A1018" s="12" t="str">
        <x:v>U703</x:v>
      </x:c>
      <x:c r="B1018" s="12" t="str">
        <x:v>TLV9004QPWRQ1</x:v>
      </x:c>
      <x:c r="C1018" s="12" t="str">
        <x:v>Да</x:v>
      </x:c>
      <x:c r="D1018" s="11" t="str">
        <x:v>TLV9004QPWRQ1</x:v>
      </x:c>
      <x:c r="E1018" s="12" t="str">
        <x:v>Texas Instruments</x:v>
      </x:c>
      <x:c r="F1018" s="11" t="str">
        <x:v>TSSOP-14_4.4x5mm_P0.65mm</x:v>
      </x:c>
      <x:c r="G1018" s="12" t="str">
        <x:v>SURFACE_MOUNT</x:v>
      </x:c>
      <x:c r="H1018" s="12" t="str">
        <x:v>REFERENCE_MPN_RETAINED</x:v>
      </x:c>
      <x:c r="I1018" s="12" t="str">
        <x:v>Не выпущено</x:v>
      </x:c>
      <x:c r="J1018" s="33" t="str"/>
      <x:c r="K1018" s="33" t="str">
        <x:v>https://www.ti.com/product/TLV9004-Q1/part-details/TLV9004QPWRQ1</x:v>
      </x:c>
      <x:c r="L1018" s="33" t="str">
        <x:v>Existing schematic MPN retained. Complete circuit rating/temperature and package signoff is still required.</x:v>
      </x:c>
    </x:row>
    <x:row r="1019" ht="38" customHeight="1">
      <x:c r="A1019" s="2" t="str">
        <x:v>U704</x:v>
      </x:c>
      <x:c r="B1019" s="2" t="str">
        <x:v>TLV9004QPWRQ1</x:v>
      </x:c>
      <x:c r="C1019" s="2" t="str">
        <x:v>Да</x:v>
      </x:c>
      <x:c r="D1019" s="8" t="str">
        <x:v>TLV9004QPWRQ1</x:v>
      </x:c>
      <x:c r="E1019" s="2" t="str">
        <x:v>Texas Instruments</x:v>
      </x:c>
      <x:c r="F1019" s="8" t="str">
        <x:v>TSSOP-14_4.4x5mm_P0.65mm</x:v>
      </x:c>
      <x:c r="G1019" s="2" t="str">
        <x:v>SURFACE_MOUNT</x:v>
      </x:c>
      <x:c r="H1019" s="2" t="str">
        <x:v>REFERENCE_MPN_RETAINED</x:v>
      </x:c>
      <x:c r="I1019" s="2" t="str">
        <x:v>Не выпущено</x:v>
      </x:c>
      <x:c r="J1019" s="31" t="str"/>
      <x:c r="K1019" s="31" t="str">
        <x:v>https://www.ti.com/product/TLV9004-Q1/part-details/TLV9004QPWRQ1</x:v>
      </x:c>
      <x:c r="L1019" s="31" t="str">
        <x:v>Existing schematic MPN retained. Complete circuit rating/temperature and package signoff is still required.</x:v>
      </x:c>
    </x:row>
    <x:row r="1020" ht="38" customHeight="1">
      <x:c r="A1020" s="12" t="str">
        <x:v>U705</x:v>
      </x:c>
      <x:c r="B1020" s="12" t="str">
        <x:v>TLV9004QPWRQ1</x:v>
      </x:c>
      <x:c r="C1020" s="12" t="str">
        <x:v>Да</x:v>
      </x:c>
      <x:c r="D1020" s="11" t="str">
        <x:v>TLV9004QPWRQ1</x:v>
      </x:c>
      <x:c r="E1020" s="12" t="str">
        <x:v>Texas Instruments</x:v>
      </x:c>
      <x:c r="F1020" s="11" t="str">
        <x:v>TSSOP-14_4.4x5mm_P0.65mm</x:v>
      </x:c>
      <x:c r="G1020" s="12" t="str">
        <x:v>SURFACE_MOUNT</x:v>
      </x:c>
      <x:c r="H1020" s="12" t="str">
        <x:v>REFERENCE_MPN_RETAINED</x:v>
      </x:c>
      <x:c r="I1020" s="12" t="str">
        <x:v>Не выпущено</x:v>
      </x:c>
      <x:c r="J1020" s="33" t="str"/>
      <x:c r="K1020" s="33" t="str">
        <x:v>https://www.ti.com/product/TLV9004-Q1/part-details/TLV9004QPWRQ1</x:v>
      </x:c>
      <x:c r="L1020" s="33" t="str">
        <x:v>Existing schematic MPN retained. Complete circuit rating/temperature and package signoff is still required.</x:v>
      </x:c>
    </x:row>
    <x:row r="1021" ht="38" customHeight="1">
      <x:c r="A1021" s="2" t="str">
        <x:v>U721</x:v>
      </x:c>
      <x:c r="B1021" s="2" t="str">
        <x:v>SN74LVC14AQPWRQ1</x:v>
      </x:c>
      <x:c r="C1021" s="2" t="str">
        <x:v>Да</x:v>
      </x:c>
      <x:c r="D1021" s="8" t="str">
        <x:v>SN74LVC14AQPWRQ1</x:v>
      </x:c>
      <x:c r="E1021" s="2" t="str">
        <x:v>Texas Instruments</x:v>
      </x:c>
      <x:c r="F1021" s="8" t="str">
        <x:v>TSSOP-14_4.4x5mm_P0.65mm</x:v>
      </x:c>
      <x:c r="G1021" s="2" t="str">
        <x:v>SURFACE_MOUNT</x:v>
      </x:c>
      <x:c r="H1021" s="2" t="str">
        <x:v>REFERENCE_MPN_RETAINED</x:v>
      </x:c>
      <x:c r="I1021" s="2" t="str">
        <x:v>Не выпущено</x:v>
      </x:c>
      <x:c r="J1021" s="31" t="str"/>
      <x:c r="K1021" s="31" t="str">
        <x:v>https://www.ti.com/product/SN74LVC14A-Q1/part-details/SN74LVC14AQPWRQ1</x:v>
      </x:c>
      <x:c r="L1021" s="31" t="str">
        <x:v>Existing schematic MPN retained. Complete circuit rating/temperature and package signoff is still required.</x:v>
      </x:c>
    </x:row>
    <x:row r="1022" ht="38" customHeight="1">
      <x:c r="A1022" s="12" t="str">
        <x:v>U722</x:v>
      </x:c>
      <x:c r="B1022" s="12" t="str">
        <x:v>SN74LVC14AQPWRQ1</x:v>
      </x:c>
      <x:c r="C1022" s="12" t="str">
        <x:v>Да</x:v>
      </x:c>
      <x:c r="D1022" s="11" t="str">
        <x:v>SN74LVC14AQPWRQ1</x:v>
      </x:c>
      <x:c r="E1022" s="12" t="str">
        <x:v>Texas Instruments</x:v>
      </x:c>
      <x:c r="F1022" s="11" t="str">
        <x:v>TSSOP-14_4.4x5mm_P0.65mm</x:v>
      </x:c>
      <x:c r="G1022" s="12" t="str">
        <x:v>SURFACE_MOUNT</x:v>
      </x:c>
      <x:c r="H1022" s="12" t="str">
        <x:v>REFERENCE_MPN_RETAINED</x:v>
      </x:c>
      <x:c r="I1022" s="12" t="str">
        <x:v>Не выпущено</x:v>
      </x:c>
      <x:c r="J1022" s="33" t="str"/>
      <x:c r="K1022" s="33" t="str">
        <x:v>https://www.ti.com/product/SN74LVC14A-Q1/part-details/SN74LVC14AQPWRQ1</x:v>
      </x:c>
      <x:c r="L1022" s="33" t="str">
        <x:v>Existing schematic MPN retained. Complete circuit rating/temperature and package signoff is still required.</x:v>
      </x:c>
    </x:row>
    <x:row r="1023" ht="38" customHeight="1">
      <x:c r="A1023" s="2" t="str">
        <x:v>U731</x:v>
      </x:c>
      <x:c r="B1023" s="2" t="str">
        <x:v>MAX9924UAUB/V+</x:v>
      </x:c>
      <x:c r="C1023" s="2" t="str">
        <x:v>Да</x:v>
      </x:c>
      <x:c r="D1023" s="8" t="str">
        <x:v>MAX9924UAUB/V+T</x:v>
      </x:c>
      <x:c r="E1023" s="2" t="str">
        <x:v>Analog Devices</x:v>
      </x:c>
      <x:c r="F1023" s="8" t="str">
        <x:v>MSOP-10_3x3mm_P0.5mm</x:v>
      </x:c>
      <x:c r="G1023" s="2" t="str">
        <x:v>SURFACE_MOUNT</x:v>
      </x:c>
      <x:c r="H1023" s="2" t="str">
        <x:v>REFERENCE_MPN_RETAINED</x:v>
      </x:c>
      <x:c r="I1023" s="2" t="str">
        <x:v>Не выпущено</x:v>
      </x:c>
      <x:c r="J1023" s="31" t="str"/>
      <x:c r="K1023" s="31" t="str">
        <x:v>https://www.analog.com/en/search.html?q=MAX9924UAUB/V+</x:v>
      </x:c>
      <x:c r="L1023" s="31" t="str">
        <x:v>Existing schematic MPN retained. Complete circuit rating/temperature and package signoff is still required.</x:v>
      </x:c>
    </x:row>
    <x:row r="1024" ht="38" customHeight="1">
      <x:c r="A1024" s="12" t="str">
        <x:v>U801</x:v>
      </x:c>
      <x:c r="B1024" s="12" t="str">
        <x:v>TPS3431SQDRBRQ1</x:v>
      </x:c>
      <x:c r="C1024" s="12" t="str">
        <x:v>Да</x:v>
      </x:c>
      <x:c r="D1024" s="11" t="str">
        <x:v>TPS3431SQDRBRQ1</x:v>
      </x:c>
      <x:c r="E1024" s="12" t="str">
        <x:v>Texas Instruments</x:v>
      </x:c>
      <x:c r="F1024" s="11" t="str">
        <x:v>VSON-8-1EP_3x3mm_P0.65mm_EP1.6x2.4mm</x:v>
      </x:c>
      <x:c r="G1024" s="12" t="str">
        <x:v>SURFACE_MOUNT</x:v>
      </x:c>
      <x:c r="H1024" s="12" t="str">
        <x:v>REFERENCE_MPN_RETAINED</x:v>
      </x:c>
      <x:c r="I1024" s="12" t="str">
        <x:v>Не выпущено</x:v>
      </x:c>
      <x:c r="J1024" s="33" t="str"/>
      <x:c r="K1024" s="33" t="str">
        <x:v>https://www.ti.com/product/TPS3431-Q1/part-details/TPS3431SQDRBRQ1</x:v>
      </x:c>
      <x:c r="L1024" s="33" t="str">
        <x:v>Existing schematic MPN retained. Complete circuit rating/temperature and package signoff is still required.</x:v>
      </x:c>
    </x:row>
    <x:row r="1025" ht="38" customHeight="1">
      <x:c r="A1025" s="2" t="str">
        <x:v>U802</x:v>
      </x:c>
      <x:c r="B1025" s="2" t="str">
        <x:v>TPS3808G33QDBVRQ1</x:v>
      </x:c>
      <x:c r="C1025" s="2" t="str">
        <x:v>Да</x:v>
      </x:c>
      <x:c r="D1025" s="8" t="str">
        <x:v>TPS3808G33QDBVRQ1</x:v>
      </x:c>
      <x:c r="E1025" s="2" t="str">
        <x:v>Texas Instruments</x:v>
      </x:c>
      <x:c r="F1025" s="8" t="str">
        <x:v>SOT-23-6</x:v>
      </x:c>
      <x:c r="G1025" s="2" t="str">
        <x:v>SURFACE_MOUNT</x:v>
      </x:c>
      <x:c r="H1025" s="2" t="str">
        <x:v>REFERENCE_MPN_RETAINED</x:v>
      </x:c>
      <x:c r="I1025" s="2" t="str">
        <x:v>Не выпущено</x:v>
      </x:c>
      <x:c r="J1025" s="31" t="str"/>
      <x:c r="K1025" s="31" t="str">
        <x:v>https://www.ti.com/product/TPS3808-Q1/part-details/TPS3808G33QDBVRQ1</x:v>
      </x:c>
      <x:c r="L1025" s="31" t="str">
        <x:v>Existing schematic MPN retained. Complete circuit rating/temperature and package signoff is still required.</x:v>
      </x:c>
    </x:row>
    <x:row r="1026" ht="38" customHeight="1">
      <x:c r="A1026" s="12" t="str">
        <x:v>U803</x:v>
      </x:c>
      <x:c r="B1026" s="12" t="str">
        <x:v>SN74LVC1G17QDBVRQ1</x:v>
      </x:c>
      <x:c r="C1026" s="12" t="str">
        <x:v>Да</x:v>
      </x:c>
      <x:c r="D1026" s="11" t="str">
        <x:v>SN74LVC1G17QDBVRQ1</x:v>
      </x:c>
      <x:c r="E1026" s="12" t="str">
        <x:v>Texas Instruments</x:v>
      </x:c>
      <x:c r="F1026" s="11" t="str">
        <x:v>SOT-23-5</x:v>
      </x:c>
      <x:c r="G1026" s="12" t="str">
        <x:v>SURFACE_MOUNT</x:v>
      </x:c>
      <x:c r="H1026" s="12" t="str">
        <x:v>REFERENCE_MPN_RETAINED</x:v>
      </x:c>
      <x:c r="I1026" s="12" t="str">
        <x:v>Не выпущено</x:v>
      </x:c>
      <x:c r="J1026" s="33" t="str"/>
      <x:c r="K1026" s="33" t="str">
        <x:v>https://www.ti.com/product/SN74LVC1G17-Q1/part-details/SN74LVC1G17QDBVRQ1</x:v>
      </x:c>
      <x:c r="L1026" s="33" t="str">
        <x:v>Existing schematic MPN retained. Complete circuit rating/temperature and package signoff is still required.</x:v>
      </x:c>
    </x:row>
    <x:row r="1027" ht="38" customHeight="1">
      <x:c r="A1027" s="2" t="str">
        <x:v>U804</x:v>
      </x:c>
      <x:c r="B1027" s="2" t="str">
        <x:v>SN74LVC2G74QDCURQ1</x:v>
      </x:c>
      <x:c r="C1027" s="2" t="str">
        <x:v>Да</x:v>
      </x:c>
      <x:c r="D1027" s="8" t="str">
        <x:v>SN74LVC2G74QDCURQ1</x:v>
      </x:c>
      <x:c r="E1027" s="2" t="str">
        <x:v>Texas Instruments</x:v>
      </x:c>
      <x:c r="F1027" s="8" t="str">
        <x:v>VSSOP-8_2.3x2mm_P0.5mm</x:v>
      </x:c>
      <x:c r="G1027" s="2" t="str">
        <x:v>SURFACE_MOUNT</x:v>
      </x:c>
      <x:c r="H1027" s="2" t="str">
        <x:v>REFERENCE_MPN_RETAINED</x:v>
      </x:c>
      <x:c r="I1027" s="2" t="str">
        <x:v>Не выпущено</x:v>
      </x:c>
      <x:c r="J1027" s="31" t="str"/>
      <x:c r="K1027" s="31" t="str">
        <x:v>https://www.ti.com/product/SN74LVC2G74-Q1/part-details/SN74LVC2G74QDCURQ1</x:v>
      </x:c>
      <x:c r="L1027" s="31" t="str">
        <x:v>Existing schematic MPN retained. Complete circuit rating/temperature and package signoff is still required.</x:v>
      </x:c>
    </x:row>
    <x:row r="1028" ht="38" customHeight="1">
      <x:c r="A1028" s="12" t="str">
        <x:v>U806</x:v>
      </x:c>
      <x:c r="B1028" s="12" t="str">
        <x:v>TPS3808G01QDBVRQ1</x:v>
      </x:c>
      <x:c r="C1028" s="12" t="str">
        <x:v>Да</x:v>
      </x:c>
      <x:c r="D1028" s="11" t="str">
        <x:v>TPS3808G01QDBVRQ1</x:v>
      </x:c>
      <x:c r="E1028" s="12" t="str">
        <x:v>Texas Instruments</x:v>
      </x:c>
      <x:c r="F1028" s="11" t="str">
        <x:v>SOT-23-6</x:v>
      </x:c>
      <x:c r="G1028" s="12" t="str">
        <x:v>SURFACE_MOUNT</x:v>
      </x:c>
      <x:c r="H1028" s="12" t="str">
        <x:v>REFERENCE_MPN_RETAINED</x:v>
      </x:c>
      <x:c r="I1028" s="12" t="str">
        <x:v>Не выпущено</x:v>
      </x:c>
      <x:c r="J1028" s="33" t="str"/>
      <x:c r="K1028" s="33" t="str">
        <x:v>https://www.ti.com/product/TPS3808-Q1/part-details/TPS3808G01QDBVRQ1</x:v>
      </x:c>
      <x:c r="L1028" s="33" t="str">
        <x:v>Existing schematic MPN retained. Complete circuit rating/temperature and package signoff is still required.</x:v>
      </x:c>
    </x:row>
    <x:row r="1029" ht="38" customHeight="1">
      <x:c r="A1029" s="2" t="str">
        <x:v>U1101</x:v>
      </x:c>
      <x:c r="B1029" s="2" t="str">
        <x:v>TLE9104SHXUMA1</x:v>
      </x:c>
      <x:c r="C1029" s="2" t="str">
        <x:v>Да</x:v>
      </x:c>
      <x:c r="D1029" s="8" t="str">
        <x:v>TLE9104SHXUMA1</x:v>
      </x:c>
      <x:c r="E1029" s="2" t="str">
        <x:v>Infineon Technologies</x:v>
      </x:c>
      <x:c r="F1029" s="8" t="str">
        <x:v>TLE9104SH_PG-DSO-20-88</x:v>
      </x:c>
      <x:c r="G1029" s="2" t="str">
        <x:v>SURFACE_MOUNT</x:v>
      </x:c>
      <x:c r="H1029" s="2" t="str">
        <x:v>REFERENCE_MPN_RETAINED</x:v>
      </x:c>
      <x:c r="I1029" s="2" t="str">
        <x:v>Не выпущено</x:v>
      </x:c>
      <x:c r="J1029" s="31" t="str"/>
      <x:c r="K1029" s="31" t="str">
        <x:v>https://www.infineon.com/part/TLE9104SHXUMA1</x:v>
      </x:c>
      <x:c r="L1029" s="31" t="str">
        <x:v>Existing schematic MPN retained. Complete circuit rating/temperature and package signoff is still required.</x:v>
      </x:c>
    </x:row>
    <x:row r="1030" ht="38" customHeight="1">
      <x:c r="A1030" s="12" t="str">
        <x:v>U1102</x:v>
      </x:c>
      <x:c r="B1030" s="12" t="str">
        <x:v>TLE9104SHXUMA1</x:v>
      </x:c>
      <x:c r="C1030" s="12" t="str">
        <x:v>Да</x:v>
      </x:c>
      <x:c r="D1030" s="11" t="str">
        <x:v>TLE9104SHXUMA1</x:v>
      </x:c>
      <x:c r="E1030" s="12" t="str">
        <x:v>Infineon Technologies</x:v>
      </x:c>
      <x:c r="F1030" s="11" t="str">
        <x:v>TLE9104SH_PG-DSO-20-88</x:v>
      </x:c>
      <x:c r="G1030" s="12" t="str">
        <x:v>SURFACE_MOUNT</x:v>
      </x:c>
      <x:c r="H1030" s="12" t="str">
        <x:v>REFERENCE_MPN_RETAINED</x:v>
      </x:c>
      <x:c r="I1030" s="12" t="str">
        <x:v>Не выпущено</x:v>
      </x:c>
      <x:c r="J1030" s="33" t="str"/>
      <x:c r="K1030" s="33" t="str">
        <x:v>https://www.infineon.com/part/TLE9104SHXUMA1</x:v>
      </x:c>
      <x:c r="L1030" s="33" t="str">
        <x:v>Existing schematic MPN retained. Complete circuit rating/temperature and package signoff is still required.</x:v>
      </x:c>
    </x:row>
    <x:row r="1031" ht="38" customHeight="1">
      <x:c r="A1031" s="2" t="str">
        <x:v>U1103</x:v>
      </x:c>
      <x:c r="B1031" s="2" t="str">
        <x:v>TLE9104SHXUMA1</x:v>
      </x:c>
      <x:c r="C1031" s="2" t="str">
        <x:v>Да</x:v>
      </x:c>
      <x:c r="D1031" s="8" t="str">
        <x:v>TLE9104SHXUMA1</x:v>
      </x:c>
      <x:c r="E1031" s="2" t="str">
        <x:v>Infineon Technologies</x:v>
      </x:c>
      <x:c r="F1031" s="8" t="str">
        <x:v>TLE9104SH_PG-DSO-20-88</x:v>
      </x:c>
      <x:c r="G1031" s="2" t="str">
        <x:v>SURFACE_MOUNT</x:v>
      </x:c>
      <x:c r="H1031" s="2" t="str">
        <x:v>REFERENCE_MPN_RETAINED</x:v>
      </x:c>
      <x:c r="I1031" s="2" t="str">
        <x:v>Не выпущено</x:v>
      </x:c>
      <x:c r="J1031" s="31" t="str"/>
      <x:c r="K1031" s="31" t="str">
        <x:v>https://www.infineon.com/part/TLE9104SHXUMA1</x:v>
      </x:c>
      <x:c r="L1031" s="31" t="str">
        <x:v>Existing schematic MPN retained. Complete circuit rating/temperature and package signoff is still required.</x:v>
      </x:c>
    </x:row>
    <x:row r="1032" ht="38" customHeight="1">
      <x:c r="A1032" s="12" t="str">
        <x:v>U1104</x:v>
      </x:c>
      <x:c r="B1032" s="12" t="str">
        <x:v>TLE9104SHXUMA1</x:v>
      </x:c>
      <x:c r="C1032" s="12" t="str">
        <x:v>Да</x:v>
      </x:c>
      <x:c r="D1032" s="11" t="str">
        <x:v>TLE9104SHXUMA1</x:v>
      </x:c>
      <x:c r="E1032" s="12" t="str">
        <x:v>Infineon Technologies</x:v>
      </x:c>
      <x:c r="F1032" s="11" t="str">
        <x:v>TLE9104SH_PG-DSO-20-88</x:v>
      </x:c>
      <x:c r="G1032" s="12" t="str">
        <x:v>SURFACE_MOUNT</x:v>
      </x:c>
      <x:c r="H1032" s="12" t="str">
        <x:v>REFERENCE_MPN_RETAINED</x:v>
      </x:c>
      <x:c r="I1032" s="12" t="str">
        <x:v>Не выпущено</x:v>
      </x:c>
      <x:c r="J1032" s="33" t="str"/>
      <x:c r="K1032" s="33" t="str">
        <x:v>https://www.infineon.com/part/TLE9104SHXUMA1</x:v>
      </x:c>
      <x:c r="L1032" s="33" t="str">
        <x:v>Existing schematic MPN retained. Complete circuit rating/temperature and package signoff is still required.</x:v>
      </x:c>
    </x:row>
    <x:row r="1033" ht="38" customHeight="1">
      <x:c r="A1033" s="2" t="str">
        <x:v>U1105</x:v>
      </x:c>
      <x:c r="B1033" s="2" t="str">
        <x:v>TLE9104SHXUMA1</x:v>
      </x:c>
      <x:c r="C1033" s="2" t="str">
        <x:v>Да</x:v>
      </x:c>
      <x:c r="D1033" s="8" t="str">
        <x:v>TLE9104SHXUMA1</x:v>
      </x:c>
      <x:c r="E1033" s="2" t="str">
        <x:v>Infineon Technologies</x:v>
      </x:c>
      <x:c r="F1033" s="8" t="str">
        <x:v>TLE9104SH_PG-DSO-20-88</x:v>
      </x:c>
      <x:c r="G1033" s="2" t="str">
        <x:v>SURFACE_MOUNT</x:v>
      </x:c>
      <x:c r="H1033" s="2" t="str">
        <x:v>REFERENCE_MPN_RETAINED</x:v>
      </x:c>
      <x:c r="I1033" s="2" t="str">
        <x:v>Не выпущено</x:v>
      </x:c>
      <x:c r="J1033" s="31" t="str"/>
      <x:c r="K1033" s="31" t="str">
        <x:v>https://www.infineon.com/part/TLE9104SHXUMA1</x:v>
      </x:c>
      <x:c r="L1033" s="31" t="str">
        <x:v>Existing schematic MPN retained. Complete circuit rating/temperature and package signoff is still required.</x:v>
      </x:c>
    </x:row>
    <x:row r="1034" ht="38" customHeight="1">
      <x:c r="A1034" s="12" t="str">
        <x:v>U1106</x:v>
      </x:c>
      <x:c r="B1034" s="12" t="str">
        <x:v>TLE9104SHXUMA1</x:v>
      </x:c>
      <x:c r="C1034" s="12" t="str">
        <x:v>Да</x:v>
      </x:c>
      <x:c r="D1034" s="11" t="str">
        <x:v>TLE9104SHXUMA1</x:v>
      </x:c>
      <x:c r="E1034" s="12" t="str">
        <x:v>Infineon Technologies</x:v>
      </x:c>
      <x:c r="F1034" s="11" t="str">
        <x:v>TLE9104SH_PG-DSO-20-88</x:v>
      </x:c>
      <x:c r="G1034" s="12" t="str">
        <x:v>SURFACE_MOUNT</x:v>
      </x:c>
      <x:c r="H1034" s="12" t="str">
        <x:v>REFERENCE_MPN_RETAINED</x:v>
      </x:c>
      <x:c r="I1034" s="12" t="str">
        <x:v>Не выпущено</x:v>
      </x:c>
      <x:c r="J1034" s="33" t="str"/>
      <x:c r="K1034" s="33" t="str">
        <x:v>https://www.infineon.com/part/TLE9104SHXUMA1</x:v>
      </x:c>
      <x:c r="L1034" s="33" t="str">
        <x:v>Existing schematic MPN retained. Complete circuit rating/temperature and package signoff is still required.</x:v>
      </x:c>
    </x:row>
    <x:row r="1035" ht="38" customHeight="1">
      <x:c r="A1035" s="2" t="str">
        <x:v>U1121</x:v>
      </x:c>
      <x:c r="B1035" s="2" t="str">
        <x:v>SN74LVC14AQPWRQ1</x:v>
      </x:c>
      <x:c r="C1035" s="2" t="str">
        <x:v>Да</x:v>
      </x:c>
      <x:c r="D1035" s="8" t="str">
        <x:v>SN74LVC14AQPWRQ1</x:v>
      </x:c>
      <x:c r="E1035" s="2" t="str">
        <x:v>Texas Instruments</x:v>
      </x:c>
      <x:c r="F1035" s="8" t="str">
        <x:v>TSSOP-14_4.4x5mm_P0.65mm</x:v>
      </x:c>
      <x:c r="G1035" s="2" t="str">
        <x:v>SURFACE_MOUNT</x:v>
      </x:c>
      <x:c r="H1035" s="2" t="str">
        <x:v>REFERENCE_MPN_RETAINED</x:v>
      </x:c>
      <x:c r="I1035" s="2" t="str">
        <x:v>Не выпущено</x:v>
      </x:c>
      <x:c r="J1035" s="31" t="str"/>
      <x:c r="K1035" s="31" t="str">
        <x:v>https://www.ti.com/product/SN74LVC14A-Q1/part-details/SN74LVC14AQPWRQ1</x:v>
      </x:c>
      <x:c r="L1035" s="31" t="str">
        <x:v>Existing schematic MPN retained. Complete circuit rating/temperature and package signoff is still required.</x:v>
      </x:c>
    </x:row>
    <x:row r="1036" ht="38" customHeight="1">
      <x:c r="A1036" s="12" t="str">
        <x:v>U1122</x:v>
      </x:c>
      <x:c r="B1036" s="12" t="str">
        <x:v>SN74LVC14AQPWRQ1</x:v>
      </x:c>
      <x:c r="C1036" s="12" t="str">
        <x:v>Да</x:v>
      </x:c>
      <x:c r="D1036" s="11" t="str">
        <x:v>SN74LVC14AQPWRQ1</x:v>
      </x:c>
      <x:c r="E1036" s="12" t="str">
        <x:v>Texas Instruments</x:v>
      </x:c>
      <x:c r="F1036" s="11" t="str">
        <x:v>TSSOP-14_4.4x5mm_P0.65mm</x:v>
      </x:c>
      <x:c r="G1036" s="12" t="str">
        <x:v>SURFACE_MOUNT</x:v>
      </x:c>
      <x:c r="H1036" s="12" t="str">
        <x:v>REFERENCE_MPN_RETAINED</x:v>
      </x:c>
      <x:c r="I1036" s="12" t="str">
        <x:v>Не выпущено</x:v>
      </x:c>
      <x:c r="J1036" s="33" t="str"/>
      <x:c r="K1036" s="33" t="str">
        <x:v>https://www.ti.com/product/SN74LVC14A-Q1/part-details/SN74LVC14AQPWRQ1</x:v>
      </x:c>
      <x:c r="L1036" s="33" t="str">
        <x:v>Existing schematic MPN retained. Complete circuit rating/temperature and package signoff is still required.</x:v>
      </x:c>
    </x:row>
    <x:row r="1037" ht="38" customHeight="1">
      <x:c r="A1037" s="2" t="str">
        <x:v>U1123</x:v>
      </x:c>
      <x:c r="B1037" s="2" t="str">
        <x:v>SN74LVC14AQPWRQ1</x:v>
      </x:c>
      <x:c r="C1037" s="2" t="str">
        <x:v>Да</x:v>
      </x:c>
      <x:c r="D1037" s="8" t="str">
        <x:v>SN74LVC14AQPWRQ1</x:v>
      </x:c>
      <x:c r="E1037" s="2" t="str">
        <x:v>Texas Instruments</x:v>
      </x:c>
      <x:c r="F1037" s="8" t="str">
        <x:v>TSSOP-14_4.4x5mm_P0.65mm</x:v>
      </x:c>
      <x:c r="G1037" s="2" t="str">
        <x:v>SURFACE_MOUNT</x:v>
      </x:c>
      <x:c r="H1037" s="2" t="str">
        <x:v>REFERENCE_MPN_RETAINED</x:v>
      </x:c>
      <x:c r="I1037" s="2" t="str">
        <x:v>Не выпущено</x:v>
      </x:c>
      <x:c r="J1037" s="31" t="str"/>
      <x:c r="K1037" s="31" t="str">
        <x:v>https://www.ti.com/product/SN74LVC14A-Q1/part-details/SN74LVC14AQPWRQ1</x:v>
      </x:c>
      <x:c r="L1037" s="31" t="str">
        <x:v>Existing schematic MPN retained. Complete circuit rating/temperature and package signoff is still required.</x:v>
      </x:c>
    </x:row>
    <x:row r="1038" ht="38" customHeight="1">
      <x:c r="A1038" s="12" t="str">
        <x:v>U1124</x:v>
      </x:c>
      <x:c r="B1038" s="12" t="str">
        <x:v>SN74LVC14AQPWRQ1</x:v>
      </x:c>
      <x:c r="C1038" s="12" t="str">
        <x:v>Да</x:v>
      </x:c>
      <x:c r="D1038" s="11" t="str">
        <x:v>SN74LVC14AQPWRQ1</x:v>
      </x:c>
      <x:c r="E1038" s="12" t="str">
        <x:v>Texas Instruments</x:v>
      </x:c>
      <x:c r="F1038" s="11" t="str">
        <x:v>TSSOP-14_4.4x5mm_P0.65mm</x:v>
      </x:c>
      <x:c r="G1038" s="12" t="str">
        <x:v>SURFACE_MOUNT</x:v>
      </x:c>
      <x:c r="H1038" s="12" t="str">
        <x:v>REFERENCE_MPN_RETAINED</x:v>
      </x:c>
      <x:c r="I1038" s="12" t="str">
        <x:v>Не выпущено</x:v>
      </x:c>
      <x:c r="J1038" s="33" t="str"/>
      <x:c r="K1038" s="33" t="str">
        <x:v>https://www.ti.com/product/SN74LVC14A-Q1/part-details/SN74LVC14AQPWRQ1</x:v>
      </x:c>
      <x:c r="L1038" s="33" t="str">
        <x:v>Existing schematic MPN retained. Complete circuit rating/temperature and package signoff is still required.</x:v>
      </x:c>
    </x:row>
    <x:row r="1039" ht="38" customHeight="1">
      <x:c r="A1039" s="2" t="str">
        <x:v>U1125</x:v>
      </x:c>
      <x:c r="B1039" s="2" t="str">
        <x:v>SN74LVC14AQPWRQ1</x:v>
      </x:c>
      <x:c r="C1039" s="2" t="str">
        <x:v>Да</x:v>
      </x:c>
      <x:c r="D1039" s="8" t="str">
        <x:v>SN74LVC14AQPWRQ1</x:v>
      </x:c>
      <x:c r="E1039" s="2" t="str">
        <x:v>Texas Instruments</x:v>
      </x:c>
      <x:c r="F1039" s="8" t="str">
        <x:v>TSSOP-14_4.4x5mm_P0.65mm</x:v>
      </x:c>
      <x:c r="G1039" s="2" t="str">
        <x:v>SURFACE_MOUNT</x:v>
      </x:c>
      <x:c r="H1039" s="2" t="str">
        <x:v>REFERENCE_MPN_RETAINED</x:v>
      </x:c>
      <x:c r="I1039" s="2" t="str">
        <x:v>Не выпущено</x:v>
      </x:c>
      <x:c r="J1039" s="31" t="str"/>
      <x:c r="K1039" s="31" t="str">
        <x:v>https://www.ti.com/product/SN74LVC14A-Q1/part-details/SN74LVC14AQPWRQ1</x:v>
      </x:c>
      <x:c r="L1039" s="31" t="str">
        <x:v>Existing schematic MPN retained. Complete circuit rating/temperature and package signoff is still required.</x:v>
      </x:c>
    </x:row>
    <x:row r="1040" ht="38" customHeight="1">
      <x:c r="A1040" s="12" t="str">
        <x:v>U1126</x:v>
      </x:c>
      <x:c r="B1040" s="12" t="str">
        <x:v>SN74LVC14AQPWRQ1</x:v>
      </x:c>
      <x:c r="C1040" s="12" t="str">
        <x:v>Да</x:v>
      </x:c>
      <x:c r="D1040" s="11" t="str">
        <x:v>SN74LVC14AQPWRQ1</x:v>
      </x:c>
      <x:c r="E1040" s="12" t="str">
        <x:v>Texas Instruments</x:v>
      </x:c>
      <x:c r="F1040" s="11" t="str">
        <x:v>TSSOP-14_4.4x5mm_P0.65mm</x:v>
      </x:c>
      <x:c r="G1040" s="12" t="str">
        <x:v>SURFACE_MOUNT</x:v>
      </x:c>
      <x:c r="H1040" s="12" t="str">
        <x:v>REFERENCE_MPN_RETAINED</x:v>
      </x:c>
      <x:c r="I1040" s="12" t="str">
        <x:v>Не выпущено</x:v>
      </x:c>
      <x:c r="J1040" s="33" t="str"/>
      <x:c r="K1040" s="33" t="str">
        <x:v>https://www.ti.com/product/SN74LVC14A-Q1/part-details/SN74LVC14AQPWRQ1</x:v>
      </x:c>
      <x:c r="L1040" s="33" t="str">
        <x:v>Existing schematic MPN retained. Complete circuit rating/temperature and package signoff is still required.</x:v>
      </x:c>
    </x:row>
    <x:row r="1041" ht="38" customHeight="1">
      <x:c r="A1041" s="2" t="str">
        <x:v>U1140</x:v>
      </x:c>
      <x:c r="B1041" s="2" t="str">
        <x:v>SN74LVC1G17QDBVRQ1</x:v>
      </x:c>
      <x:c r="C1041" s="2" t="str">
        <x:v>Да</x:v>
      </x:c>
      <x:c r="D1041" s="8" t="str">
        <x:v>SN74LVC1G17QDBVRQ1</x:v>
      </x:c>
      <x:c r="E1041" s="2" t="str">
        <x:v>Texas Instruments</x:v>
      </x:c>
      <x:c r="F1041" s="8" t="str">
        <x:v>SOT-23-5</x:v>
      </x:c>
      <x:c r="G1041" s="2" t="str">
        <x:v>SURFACE_MOUNT</x:v>
      </x:c>
      <x:c r="H1041" s="2" t="str">
        <x:v>REFERENCE_MPN_RETAINED</x:v>
      </x:c>
      <x:c r="I1041" s="2" t="str">
        <x:v>Не выпущено</x:v>
      </x:c>
      <x:c r="J1041" s="31" t="str"/>
      <x:c r="K1041" s="31" t="str">
        <x:v>https://www.ti.com/product/SN74LVC1G17-Q1/part-details/SN74LVC1G17QDBVRQ1</x:v>
      </x:c>
      <x:c r="L1041" s="31" t="str">
        <x:v>Existing schematic MPN retained. Complete circuit rating/temperature and package signoff is still required.</x:v>
      </x:c>
    </x:row>
    <x:row r="1042" ht="38" customHeight="1">
      <x:c r="A1042" s="12" t="str">
        <x:v>U1501</x:v>
      </x:c>
      <x:c r="B1042" s="12" t="str">
        <x:v>TCAN1042HGVDRQ1</x:v>
      </x:c>
      <x:c r="C1042" s="12" t="str">
        <x:v>Да</x:v>
      </x:c>
      <x:c r="D1042" s="11" t="str">
        <x:v>TCAN1042HGVDRQ1</x:v>
      </x:c>
      <x:c r="E1042" s="12" t="str">
        <x:v>Texas Instruments</x:v>
      </x:c>
      <x:c r="F1042" s="11" t="str">
        <x:v>SOIC-8_3.9x4.9mm_P1.27mm</x:v>
      </x:c>
      <x:c r="G1042" s="12" t="str">
        <x:v>SURFACE_MOUNT</x:v>
      </x:c>
      <x:c r="H1042" s="12" t="str">
        <x:v>REFERENCE_MPN_RETAINED</x:v>
      </x:c>
      <x:c r="I1042" s="12" t="str">
        <x:v>Не выпущено</x:v>
      </x:c>
      <x:c r="J1042" s="33" t="str"/>
      <x:c r="K1042" s="33" t="str">
        <x:v>https://www.ti.com/product/TCAN1042H-Q1/part-details/TCAN1042HGVDRQ1</x:v>
      </x:c>
      <x:c r="L1042" s="33" t="str">
        <x:v>Existing schematic MPN retained. Complete circuit rating/temperature and package signoff is still required.</x:v>
      </x:c>
    </x:row>
    <x:row r="1043" ht="38" customHeight="1">
      <x:c r="A1043" s="2" t="str">
        <x:v>U1502</x:v>
      </x:c>
      <x:c r="B1043" s="2" t="str">
        <x:v>TLIN1029ADRQ1</x:v>
      </x:c>
      <x:c r="C1043" s="2" t="str">
        <x:v>Да</x:v>
      </x:c>
      <x:c r="D1043" s="8" t="str">
        <x:v>TLIN1029ADRQ1</x:v>
      </x:c>
      <x:c r="E1043" s="2" t="str">
        <x:v>Texas Instruments</x:v>
      </x:c>
      <x:c r="F1043" s="8" t="str">
        <x:v>SOIC-8_3.9x4.9mm_P1.27mm</x:v>
      </x:c>
      <x:c r="G1043" s="2" t="str">
        <x:v>SURFACE_MOUNT</x:v>
      </x:c>
      <x:c r="H1043" s="2" t="str">
        <x:v>REFERENCE_MPN_RETAINED</x:v>
      </x:c>
      <x:c r="I1043" s="2" t="str">
        <x:v>Не выпущено</x:v>
      </x:c>
      <x:c r="J1043" s="31" t="str"/>
      <x:c r="K1043" s="31" t="str">
        <x:v>https://www.ti.com/product/TLIN1029A-Q1/part-details/TLIN1029ADRQ1</x:v>
      </x:c>
      <x:c r="L1043" s="31" t="str">
        <x:v>Existing schematic MPN retained. Complete circuit rating/temperature and package signoff is still required.</x:v>
      </x:c>
    </x:row>
    <x:row r="1044" ht="38" customHeight="1">
      <x:c r="A1044" s="12" t="str">
        <x:v>U1530</x:v>
      </x:c>
      <x:c r="B1044" s="12" t="str">
        <x:v>TPS7B4253QDDARQ1</x:v>
      </x:c>
      <x:c r="C1044" s="12" t="str">
        <x:v>Да</x:v>
      </x:c>
      <x:c r="D1044" s="11" t="str">
        <x:v>TPS7B4253QDDARQ1</x:v>
      </x:c>
      <x:c r="E1044" s="12" t="str">
        <x:v>Texas Instruments</x:v>
      </x:c>
      <x:c r="F1044" s="11" t="str">
        <x:v>TPS7B4253_DDA0008J_C02</x:v>
      </x:c>
      <x:c r="G1044" s="12" t="str">
        <x:v>SURFACE_MOUNT</x:v>
      </x:c>
      <x:c r="H1044" s="12" t="str">
        <x:v>REFERENCE_MPN_RETAINED</x:v>
      </x:c>
      <x:c r="I1044" s="12" t="str">
        <x:v>Не выпущено</x:v>
      </x:c>
      <x:c r="J1044" s="33" t="str"/>
      <x:c r="K1044" s="33" t="str">
        <x:v>https://www.ti.com/product/TPS7B4253-Q1/part-details/TPS7B4253QDDARQ1</x:v>
      </x:c>
      <x:c r="L1044" s="33" t="str">
        <x:v>Existing schematic MPN retained. Complete circuit rating/temperature and package signoff is still required.</x:v>
      </x:c>
    </x:row>
    <x:row r="1045" ht="38" customHeight="1">
      <x:c r="A1045" s="2" t="str">
        <x:v>U1531</x:v>
      </x:c>
      <x:c r="B1045" s="2" t="str">
        <x:v>TPS7B4253QDDARQ1</x:v>
      </x:c>
      <x:c r="C1045" s="2" t="str">
        <x:v>Да</x:v>
      </x:c>
      <x:c r="D1045" s="8" t="str">
        <x:v>TPS7B4253QDDARQ1</x:v>
      </x:c>
      <x:c r="E1045" s="2" t="str">
        <x:v>Texas Instruments</x:v>
      </x:c>
      <x:c r="F1045" s="8" t="str">
        <x:v>TPS7B4253_DDA0008J_C02</x:v>
      </x:c>
      <x:c r="G1045" s="2" t="str">
        <x:v>SURFACE_MOUNT</x:v>
      </x:c>
      <x:c r="H1045" s="2" t="str">
        <x:v>REFERENCE_MPN_RETAINED</x:v>
      </x:c>
      <x:c r="I1045" s="2" t="str">
        <x:v>Не выпущено</x:v>
      </x:c>
      <x:c r="J1045" s="31" t="str"/>
      <x:c r="K1045" s="31" t="str">
        <x:v>https://www.ti.com/product/TPS7B4253-Q1/part-details/TPS7B4253QDDARQ1</x:v>
      </x:c>
      <x:c r="L1045" s="31" t="str">
        <x:v>Existing schematic MPN retained. Complete circuit rating/temperature and package signoff is still required.</x:v>
      </x:c>
    </x:row>
    <x:row r="1046" ht="38" customHeight="1">
      <x:c r="A1046" s="12" t="str">
        <x:v>U1600</x:v>
      </x:c>
      <x:c r="B1046" s="12" t="str">
        <x:v>SN74LVC14AQPWRQ1</x:v>
      </x:c>
      <x:c r="C1046" s="12" t="str">
        <x:v>Да</x:v>
      </x:c>
      <x:c r="D1046" s="11" t="str">
        <x:v>SN74LVC14AQPWRQ1</x:v>
      </x:c>
      <x:c r="E1046" s="12" t="str">
        <x:v>Texas Instruments</x:v>
      </x:c>
      <x:c r="F1046" s="11" t="str">
        <x:v>TSSOP-14_4.4x5mm_P0.65mm</x:v>
      </x:c>
      <x:c r="G1046" s="12" t="str">
        <x:v>SURFACE_MOUNT</x:v>
      </x:c>
      <x:c r="H1046" s="12" t="str">
        <x:v>REFERENCE_MPN_RETAINED</x:v>
      </x:c>
      <x:c r="I1046" s="12" t="str">
        <x:v>Не выпущено</x:v>
      </x:c>
      <x:c r="J1046" s="33" t="str"/>
      <x:c r="K1046" s="33" t="str">
        <x:v>https://www.ti.com/product/SN74LVC14A-Q1/part-details/SN74LVC14AQPWRQ1</x:v>
      </x:c>
      <x:c r="L1046" s="33" t="str">
        <x:v>Existing schematic MPN retained. Complete circuit rating/temperature and package signoff is still required.</x:v>
      </x:c>
    </x:row>
    <x:row r="1047" ht="38" customHeight="1">
      <x:c r="A1047" s="2" t="str">
        <x:v>U1701</x:v>
      </x:c>
      <x:c r="B1047" s="2" t="str">
        <x:v>TPIC8101DWR</x:v>
      </x:c>
      <x:c r="C1047" s="2" t="str">
        <x:v>Да</x:v>
      </x:c>
      <x:c r="D1047" s="8" t="str">
        <x:v>TPIC8101DWR</x:v>
      </x:c>
      <x:c r="E1047" s="2" t="str">
        <x:v>Texas Instruments</x:v>
      </x:c>
      <x:c r="F1047" s="8" t="str">
        <x:v>SOIC-20W_7.5x12.8mm_P1.27mm</x:v>
      </x:c>
      <x:c r="G1047" s="2" t="str">
        <x:v>SURFACE_MOUNT</x:v>
      </x:c>
      <x:c r="H1047" s="2" t="str">
        <x:v>SELECTED_CONDITIONAL</x:v>
      </x:c>
      <x:c r="I1047" s="2" t="str">
        <x:v>Не выпущено</x:v>
      </x:c>
      <x:c r="J1047" s="31" t="str">
        <x:v>channels: 2; interface: SPI; supported_clock_mhz: [4, 5, 6, 8, 10, 12, 16, 20, 24]; temperature_min_c: -40; temperature_max_c: 125</x:v>
      </x:c>
      <x:c r="K1047" s="31" t="str">
        <x:v>https://www.ti.com/product/TPIC8101</x:v>
      </x:c>
      <x:c r="L1047" s="31" t="str">
        <x:v>Catalog family limits verified; exact order suffix and circuit stress/thermal margin remain board qualification.</x:v>
      </x:c>
    </x:row>
    <x:row r="1048" ht="38" customHeight="1">
      <x:c r="A1048" s="12" t="str">
        <x:v>U1702</x:v>
      </x:c>
      <x:c r="B1048" s="12" t="str">
        <x:v>SN74AHCT244QPWRQ1</x:v>
      </x:c>
      <x:c r="C1048" s="12" t="str">
        <x:v>Да</x:v>
      </x:c>
      <x:c r="D1048" s="11" t="str">
        <x:v>SN74AHCT244QPWRQ1</x:v>
      </x:c>
      <x:c r="E1048" s="12" t="str">
        <x:v>Texas Instruments</x:v>
      </x:c>
      <x:c r="F1048" s="11" t="str">
        <x:v>Texas_PW0020A_TSSOP-20_4.4x6.5mm_P0.65mm</x:v>
      </x:c>
      <x:c r="G1048" s="12" t="str">
        <x:v>SURFACE_MOUNT</x:v>
      </x:c>
      <x:c r="H1048" s="12" t="str">
        <x:v>REFERENCE_MPN_RETAINED</x:v>
      </x:c>
      <x:c r="I1048" s="12" t="str">
        <x:v>Не выпущено</x:v>
      </x:c>
      <x:c r="J1048" s="33" t="str"/>
      <x:c r="K1048" s="33" t="str">
        <x:v>https://www.ti.com/product/SN74AHCT244-Q1/part-details/SN74AHCT244QPWRQ1</x:v>
      </x:c>
      <x:c r="L1048" s="33" t="str">
        <x:v>Existing schematic MPN retained. Complete circuit rating/temperature and package signoff is still required.</x:v>
      </x:c>
    </x:row>
    <x:row r="1049" ht="38" customHeight="1">
      <x:c r="A1049" s="2" t="str">
        <x:v>U1703</x:v>
      </x:c>
      <x:c r="B1049" s="2" t="str">
        <x:v>CLVC1G125QDBVRQ1</x:v>
      </x:c>
      <x:c r="C1049" s="2" t="str">
        <x:v>Да</x:v>
      </x:c>
      <x:c r="D1049" s="8" t="str">
        <x:v>CLVC1G125QDBVRQ1</x:v>
      </x:c>
      <x:c r="E1049" s="2" t="str">
        <x:v>Texas Instruments</x:v>
      </x:c>
      <x:c r="F1049" s="8" t="str">
        <x:v>SOT-23-5</x:v>
      </x:c>
      <x:c r="G1049" s="2" t="str">
        <x:v>SURFACE_MOUNT</x:v>
      </x:c>
      <x:c r="H1049" s="2" t="str">
        <x:v>REFERENCE_MPN_RETAINED</x:v>
      </x:c>
      <x:c r="I1049" s="2" t="str">
        <x:v>Не выпущено</x:v>
      </x:c>
      <x:c r="J1049" s="31" t="str"/>
      <x:c r="K1049" s="31" t="str">
        <x:v>https://www.ti.com/product/SN74LVC1G125-Q1/part-details/CLVC1G125QDBVRQ1</x:v>
      </x:c>
      <x:c r="L1049" s="31" t="str">
        <x:v>Existing schematic MPN retained. Complete circuit rating/temperature and package signoff is still required.</x:v>
      </x:c>
    </x:row>
    <x:row r="1050" ht="38" customHeight="1">
      <x:c r="A1050" s="12" t="str">
        <x:v>U5001</x:v>
      </x:c>
      <x:c r="B1050" s="12" t="str">
        <x:v>LM74800QDRRRQ1</x:v>
      </x:c>
      <x:c r="C1050" s="12" t="str">
        <x:v>Да</x:v>
      </x:c>
      <x:c r="D1050" s="11" t="str">
        <x:v>LM74800QDRRRQ1</x:v>
      </x:c>
      <x:c r="E1050" s="12" t="str">
        <x:v>Texas Instruments</x:v>
      </x:c>
      <x:c r="F1050" s="11" t="str">
        <x:v>LM74800_DRR0012E</x:v>
      </x:c>
      <x:c r="G1050" s="12" t="str">
        <x:v>SURFACE_MOUNT</x:v>
      </x:c>
      <x:c r="H1050" s="12" t="str">
        <x:v>SELECTED_CONDITIONAL</x:v>
      </x:c>
      <x:c r="I1050" s="12" t="str">
        <x:v>Не выпущено</x:v>
      </x:c>
      <x:c r="J1050" s="33" t="str">
        <x:v>supply_min_v: 3; supply_max_v: 65; reverse_input_v: -65; temperature_min_c: -40; temperature_max_c: 125</x:v>
      </x:c>
      <x:c r="K1050" s="33" t="str">
        <x:v>https://www.ti.com/product/LM7480-Q1</x:v>
      </x:c>
      <x:c r="L1050" s="33" t="str">
        <x:v>Catalog family limits verified; exact order suffix and circuit stress/thermal margin remain board qualification.</x:v>
      </x:c>
    </x:row>
    <x:row r="1051" ht="38" customHeight="1">
      <x:c r="A1051" s="2" t="str">
        <x:v>U5051</x:v>
      </x:c>
      <x:c r="B1051" s="2" t="str">
        <x:v>LM74800QDRRRQ1</x:v>
      </x:c>
      <x:c r="C1051" s="2" t="str">
        <x:v>Да</x:v>
      </x:c>
      <x:c r="D1051" s="8" t="str">
        <x:v>LM74800QDRRRQ1</x:v>
      </x:c>
      <x:c r="E1051" s="2" t="str">
        <x:v>Texas Instruments</x:v>
      </x:c>
      <x:c r="F1051" s="8" t="str">
        <x:v>LM74800_DRR0012E</x:v>
      </x:c>
      <x:c r="G1051" s="2" t="str">
        <x:v>SURFACE_MOUNT</x:v>
      </x:c>
      <x:c r="H1051" s="2" t="str">
        <x:v>SELECTED_CONDITIONAL</x:v>
      </x:c>
      <x:c r="I1051" s="2" t="str">
        <x:v>Не выпущено</x:v>
      </x:c>
      <x:c r="J1051" s="31" t="str">
        <x:v>supply_min_v: 3; supply_max_v: 65; reverse_input_v: -65; temperature_min_c: -40; temperature_max_c: 125</x:v>
      </x:c>
      <x:c r="K1051" s="31" t="str">
        <x:v>https://www.ti.com/product/LM7480-Q1</x:v>
      </x:c>
      <x:c r="L1051" s="31" t="str">
        <x:v>Catalog family limits verified; exact order suffix and circuit stress/thermal margin remain board qualification.</x:v>
      </x:c>
    </x:row>
    <x:row r="1052" ht="38" customHeight="1">
      <x:c r="A1052" s="12" t="str">
        <x:v>U5101</x:v>
      </x:c>
      <x:c r="B1052" s="12" t="str">
        <x:v>SN74LVC2G08QDCURQ1</x:v>
      </x:c>
      <x:c r="C1052" s="12" t="str">
        <x:v>Да</x:v>
      </x:c>
      <x:c r="D1052" s="11" t="str">
        <x:v>SN74LVC2G08QDCURQ1</x:v>
      </x:c>
      <x:c r="E1052" s="12" t="str">
        <x:v>Texas Instruments</x:v>
      </x:c>
      <x:c r="F1052" s="11" t="str">
        <x:v>VSSOP-8_2.3x2mm_P0.5mm</x:v>
      </x:c>
      <x:c r="G1052" s="12" t="str">
        <x:v>SURFACE_MOUNT</x:v>
      </x:c>
      <x:c r="H1052" s="12" t="str">
        <x:v>REFERENCE_MPN_RETAINED</x:v>
      </x:c>
      <x:c r="I1052" s="12" t="str">
        <x:v>Не выпущено</x:v>
      </x:c>
      <x:c r="J1052" s="33" t="str"/>
      <x:c r="K1052" s="33" t="str">
        <x:v>https://www.ti.com/product/SN74LVC2G08-Q1/part-details/SN74LVC2G08QDCURQ1</x:v>
      </x:c>
      <x:c r="L1052" s="33" t="str">
        <x:v>Existing schematic MPN retained. Complete circuit rating/temperature and package signoff is still required.</x:v>
      </x:c>
    </x:row>
    <x:row r="1053" ht="38" customHeight="1">
      <x:c r="A1053" s="2" t="str">
        <x:v>U5200</x:v>
      </x:c>
      <x:c r="B1053" s="2" t="str">
        <x:v>LM76003QRNPRQ1</x:v>
      </x:c>
      <x:c r="C1053" s="2" t="str">
        <x:v>Да</x:v>
      </x:c>
      <x:c r="D1053" s="8" t="str">
        <x:v>LM76003QRNPRQ1</x:v>
      </x:c>
      <x:c r="E1053" s="2" t="str">
        <x:v>Texas Instruments</x:v>
      </x:c>
      <x:c r="F1053" s="8" t="str">
        <x:v>Texas_RNP0030B_WQFN-30-1EP_4x6mm_P0.5mm_EP1.8x4.5mm</x:v>
      </x:c>
      <x:c r="G1053" s="2" t="str">
        <x:v>SURFACE_MOUNT</x:v>
      </x:c>
      <x:c r="H1053" s="2" t="str">
        <x:v>SELECTED_CONDITIONAL</x:v>
      </x:c>
      <x:c r="I1053" s="2" t="str">
        <x:v>Не выпущено</x:v>
      </x:c>
      <x:c r="J1053" s="31" t="str">
        <x:v>supply_min_v: 3.5; supply_max_v: 60; supply_absolute_max_v: 65; output_current_catalog_a: 3.5; temperature_min_c: -40; temperature_max_c: 125</x:v>
      </x:c>
      <x:c r="K1053" s="31" t="str">
        <x:v>https://www.ti.com/product/LM76003-Q1</x:v>
      </x:c>
      <x:c r="L1053" s="31" t="str">
        <x:v>Catalog family limits verified; exact order suffix and circuit stress/thermal margin remain board qualification.</x:v>
      </x:c>
    </x:row>
    <x:row r="1054" ht="38" customHeight="1">
      <x:c r="A1054" s="12" t="str">
        <x:v>U5300</x:v>
      </x:c>
      <x:c r="B1054" s="12" t="str">
        <x:v>TPS62130AQRGTRQ1</x:v>
      </x:c>
      <x:c r="C1054" s="12" t="str">
        <x:v>Да</x:v>
      </x:c>
      <x:c r="D1054" s="11" t="str">
        <x:v>TPS62130AQRGTRQ1</x:v>
      </x:c>
      <x:c r="E1054" s="12" t="str">
        <x:v>Texas Instruments</x:v>
      </x:c>
      <x:c r="F1054" s="11" t="str">
        <x:v>VQFN-16-1EP_3x3mm_P0.5mm_EP1.68x1.68mm</x:v>
      </x:c>
      <x:c r="G1054" s="12" t="str">
        <x:v>SURFACE_MOUNT</x:v>
      </x:c>
      <x:c r="H1054" s="12" t="str">
        <x:v>SELECTED_CONDITIONAL</x:v>
      </x:c>
      <x:c r="I1054" s="12" t="str">
        <x:v>Не выпущено</x:v>
      </x:c>
      <x:c r="J1054" s="33" t="str">
        <x:v>supply_min_v: 3; supply_max_v: 17; output_current_catalog_a: 3; output_max_v: 6; temperature_min_c: -40; temperature_max_c: 125</x:v>
      </x:c>
      <x:c r="K1054" s="33" t="str">
        <x:v>https://www.ti.com/product/TPS62130A-Q1</x:v>
      </x:c>
      <x:c r="L1054" s="33" t="str">
        <x:v>Catalog family limits verified; exact order suffix and circuit stress/thermal margin remain board qualification.</x:v>
      </x:c>
    </x:row>
    <x:row r="1055" ht="38" customHeight="1">
      <x:c r="A1055" s="2" t="str">
        <x:v>U5400</x:v>
      </x:c>
      <x:c r="B1055" s="2" t="str">
        <x:v>SN74LVC1G17QDBVRQ1</x:v>
      </x:c>
      <x:c r="C1055" s="2" t="str">
        <x:v>Да</x:v>
      </x:c>
      <x:c r="D1055" s="8" t="str">
        <x:v>SN74LVC1G17QDBVRQ1</x:v>
      </x:c>
      <x:c r="E1055" s="2" t="str">
        <x:v>Texas Instruments</x:v>
      </x:c>
      <x:c r="F1055" s="8" t="str">
        <x:v>SOT-23-5</x:v>
      </x:c>
      <x:c r="G1055" s="2" t="str">
        <x:v>SURFACE_MOUNT</x:v>
      </x:c>
      <x:c r="H1055" s="2" t="str">
        <x:v>REFERENCE_MPN_RETAINED</x:v>
      </x:c>
      <x:c r="I1055" s="2" t="str">
        <x:v>Не выпущено</x:v>
      </x:c>
      <x:c r="J1055" s="31" t="str"/>
      <x:c r="K1055" s="31" t="str">
        <x:v>https://www.ti.com/product/SN74LVC1G17-Q1/part-details/SN74LVC1G17QDBVRQ1</x:v>
      </x:c>
      <x:c r="L1055" s="31" t="str">
        <x:v>Existing schematic MPN retained. Complete circuit rating/temperature and package signoff is still required.</x:v>
      </x:c>
    </x:row>
    <x:row r="1056" ht="38" customHeight="1">
      <x:c r="A1056" s="12" t="str">
        <x:v>U5401</x:v>
      </x:c>
      <x:c r="B1056" s="12" t="str">
        <x:v>SN74LVC1G11BDCKRQ1</x:v>
      </x:c>
      <x:c r="C1056" s="12" t="str">
        <x:v>Да</x:v>
      </x:c>
      <x:c r="D1056" s="11" t="str">
        <x:v>SN74LVC1G11BDCKRQ1</x:v>
      </x:c>
      <x:c r="E1056" s="12" t="str">
        <x:v>Texas Instruments</x:v>
      </x:c>
      <x:c r="F1056" s="11" t="str">
        <x:v>SOT-363_SC-70-6</x:v>
      </x:c>
      <x:c r="G1056" s="12" t="str">
        <x:v>SURFACE_MOUNT</x:v>
      </x:c>
      <x:c r="H1056" s="12" t="str">
        <x:v>REFERENCE_MPN_RETAINED</x:v>
      </x:c>
      <x:c r="I1056" s="12" t="str">
        <x:v>Не выпущено</x:v>
      </x:c>
      <x:c r="J1056" s="33" t="str"/>
      <x:c r="K1056" s="33" t="str">
        <x:v>https://www.ti.com/product/SN74LVC1G11B-Q1/part-details/SN74LVC1G11BDCKRQ1</x:v>
      </x:c>
      <x:c r="L1056" s="33" t="str">
        <x:v>Existing schematic MPN retained. Complete circuit rating/temperature and package signoff is still required.</x:v>
      </x:c>
    </x:row>
    <x:row r="1057" ht="38" customHeight="1">
      <x:c r="A1057" s="2" t="str">
        <x:v>U5402</x:v>
      </x:c>
      <x:c r="B1057" s="2" t="str">
        <x:v>UCC27524AQDRQ1</x:v>
      </x:c>
      <x:c r="C1057" s="2" t="str">
        <x:v>Да</x:v>
      </x:c>
      <x:c r="D1057" s="8" t="str">
        <x:v>UCC27524AQDRQ1</x:v>
      </x:c>
      <x:c r="E1057" s="2" t="str">
        <x:v>Texas Instruments</x:v>
      </x:c>
      <x:c r="F1057" s="8" t="str">
        <x:v>SOIC-8_3.9x4.9mm_P1.27mm</x:v>
      </x:c>
      <x:c r="G1057" s="2" t="str">
        <x:v>SURFACE_MOUNT</x:v>
      </x:c>
      <x:c r="H1057" s="2" t="str">
        <x:v>REFERENCE_MPN_RETAINED</x:v>
      </x:c>
      <x:c r="I1057" s="2" t="str">
        <x:v>Не выпущено</x:v>
      </x:c>
      <x:c r="J1057" s="31" t="str"/>
      <x:c r="K1057" s="31" t="str">
        <x:v>https://www.ti.com/product/UCC27524A-Q1/part-details/UCC27524AQDRQ1</x:v>
      </x:c>
      <x:c r="L1057" s="31" t="str">
        <x:v>Existing schematic MPN retained. Complete circuit rating/temperature and package signoff is still required.</x:v>
      </x:c>
    </x:row>
    <x:row r="1058" ht="38" customHeight="1">
      <x:c r="A1058" s="12" t="str">
        <x:v>U5403</x:v>
      </x:c>
      <x:c r="B1058" s="12" t="str">
        <x:v>UCC27524AQDRQ1</x:v>
      </x:c>
      <x:c r="C1058" s="12" t="str">
        <x:v>Да</x:v>
      </x:c>
      <x:c r="D1058" s="11" t="str">
        <x:v>UCC27524AQDRQ1</x:v>
      </x:c>
      <x:c r="E1058" s="12" t="str">
        <x:v>Texas Instruments</x:v>
      </x:c>
      <x:c r="F1058" s="11" t="str">
        <x:v>SOIC-8_3.9x4.9mm_P1.27mm</x:v>
      </x:c>
      <x:c r="G1058" s="12" t="str">
        <x:v>SURFACE_MOUNT</x:v>
      </x:c>
      <x:c r="H1058" s="12" t="str">
        <x:v>REFERENCE_MPN_RETAINED</x:v>
      </x:c>
      <x:c r="I1058" s="12" t="str">
        <x:v>Не выпущено</x:v>
      </x:c>
      <x:c r="J1058" s="33" t="str"/>
      <x:c r="K1058" s="33" t="str">
        <x:v>https://www.ti.com/product/UCC27524A-Q1/part-details/UCC27524AQDRQ1</x:v>
      </x:c>
      <x:c r="L1058" s="33" t="str">
        <x:v>Existing schematic MPN retained. Complete circuit rating/temperature and package signoff is still required.</x:v>
      </x:c>
    </x:row>
    <x:row r="1059" ht="38" customHeight="1">
      <x:c r="A1059" s="2" t="str">
        <x:v>U5404</x:v>
      </x:c>
      <x:c r="B1059" s="2" t="str">
        <x:v>UCC27524AQDRQ1</x:v>
      </x:c>
      <x:c r="C1059" s="2" t="str">
        <x:v>Да</x:v>
      </x:c>
      <x:c r="D1059" s="8" t="str">
        <x:v>UCC27524AQDRQ1</x:v>
      </x:c>
      <x:c r="E1059" s="2" t="str">
        <x:v>Texas Instruments</x:v>
      </x:c>
      <x:c r="F1059" s="8" t="str">
        <x:v>SOIC-8_3.9x4.9mm_P1.27mm</x:v>
      </x:c>
      <x:c r="G1059" s="2" t="str">
        <x:v>SURFACE_MOUNT</x:v>
      </x:c>
      <x:c r="H1059" s="2" t="str">
        <x:v>REFERENCE_MPN_RETAINED</x:v>
      </x:c>
      <x:c r="I1059" s="2" t="str">
        <x:v>Не выпущено</x:v>
      </x:c>
      <x:c r="J1059" s="31" t="str"/>
      <x:c r="K1059" s="31" t="str">
        <x:v>https://www.ti.com/product/UCC27524A-Q1/part-details/UCC27524AQDRQ1</x:v>
      </x:c>
      <x:c r="L1059" s="31" t="str">
        <x:v>Existing schematic MPN retained. Complete circuit rating/temperature and package signoff is still required.</x:v>
      </x:c>
    </x:row>
    <x:row r="1060" ht="38" customHeight="1">
      <x:c r="A1060" s="12" t="str">
        <x:v>U5420</x:v>
      </x:c>
      <x:c r="B1060" s="12" t="str">
        <x:v>LTC6993HS6-1#WTRPBF</x:v>
      </x:c>
      <x:c r="C1060" s="12" t="str">
        <x:v>Да</x:v>
      </x:c>
      <x:c r="D1060" s="11" t="str">
        <x:v>LTC6993HS6-1#WTRPBF</x:v>
      </x:c>
      <x:c r="E1060" s="12" t="str">
        <x:v>Analog Devices</x:v>
      </x:c>
      <x:c r="F1060" s="11" t="str">
        <x:v>TSOT-23-6</x:v>
      </x:c>
      <x:c r="G1060" s="12" t="str">
        <x:v>SURFACE_MOUNT</x:v>
      </x:c>
      <x:c r="H1060" s="12" t="str">
        <x:v>REFERENCE_MPN_RETAINED</x:v>
      </x:c>
      <x:c r="I1060" s="12" t="str">
        <x:v>Не выпущено</x:v>
      </x:c>
      <x:c r="J1060" s="33" t="str"/>
      <x:c r="K1060" s="33" t="str">
        <x:v>https://www.analog.com/en/search.html?q=LTC6993HS6-1#WTRPBF</x:v>
      </x:c>
      <x:c r="L1060" s="33" t="str">
        <x:v>Existing schematic MPN retained. Complete circuit rating/temperature and package signoff is still required.</x:v>
      </x:c>
    </x:row>
    <x:row r="1061" ht="38" customHeight="1">
      <x:c r="A1061" s="2" t="str">
        <x:v>U5421</x:v>
      </x:c>
      <x:c r="B1061" s="2" t="str">
        <x:v>SN74LVC1G11BDCKRQ1</x:v>
      </x:c>
      <x:c r="C1061" s="2" t="str">
        <x:v>Да</x:v>
      </x:c>
      <x:c r="D1061" s="8" t="str">
        <x:v>SN74LVC1G11BDCKRQ1</x:v>
      </x:c>
      <x:c r="E1061" s="2" t="str">
        <x:v>Texas Instruments</x:v>
      </x:c>
      <x:c r="F1061" s="8" t="str">
        <x:v>SOT-363_SC-70-6</x:v>
      </x:c>
      <x:c r="G1061" s="2" t="str">
        <x:v>SURFACE_MOUNT</x:v>
      </x:c>
      <x:c r="H1061" s="2" t="str">
        <x:v>REFERENCE_MPN_RETAINED</x:v>
      </x:c>
      <x:c r="I1061" s="2" t="str">
        <x:v>Не выпущено</x:v>
      </x:c>
      <x:c r="J1061" s="31" t="str"/>
      <x:c r="K1061" s="31" t="str">
        <x:v>https://www.ti.com/product/SN74LVC1G11B-Q1/part-details/SN74LVC1G11BDCKRQ1</x:v>
      </x:c>
      <x:c r="L1061" s="31" t="str">
        <x:v>Existing schematic MPN retained. Complete circuit rating/temperature and package signoff is still required.</x:v>
      </x:c>
    </x:row>
    <x:row r="1062" ht="38" customHeight="1">
      <x:c r="A1062" s="12" t="str">
        <x:v>U5422</x:v>
      </x:c>
      <x:c r="B1062" s="12" t="str">
        <x:v>INA300AQDGSRQ1</x:v>
      </x:c>
      <x:c r="C1062" s="12" t="str">
        <x:v>Да</x:v>
      </x:c>
      <x:c r="D1062" s="11" t="str">
        <x:v>INA300AQDGSRQ1</x:v>
      </x:c>
      <x:c r="E1062" s="12" t="str">
        <x:v>Texas Instruments</x:v>
      </x:c>
      <x:c r="F1062" s="11" t="str">
        <x:v>VSSOP-10_3x3mm_P0.5mm</x:v>
      </x:c>
      <x:c r="G1062" s="12" t="str">
        <x:v>SURFACE_MOUNT</x:v>
      </x:c>
      <x:c r="H1062" s="12" t="str">
        <x:v>SELECTED_CONDITIONAL</x:v>
      </x:c>
      <x:c r="I1062" s="12" t="str">
        <x:v>Не выпущено</x:v>
      </x:c>
      <x:c r="J1062" s="33" t="str">
        <x:v>supply_min_v: 2.7; supply_max_v: 5.5; common_mode_min_v: 0; common_mode_max_v: 36; response_options_us: [10, 50, 100]; temperature_min_c: -40; temperature_max_c: 125</x:v>
      </x:c>
      <x:c r="K1062" s="33" t="str">
        <x:v>https://www.ti.com/product/INA300-Q1</x:v>
      </x:c>
      <x:c r="L1062" s="33" t="str">
        <x:v>Catalog family limits verified; exact order suffix and circuit stress/thermal margin remain board qualification.</x:v>
      </x:c>
    </x:row>
    <x:row r="1063" ht="38" customHeight="1">
      <x:c r="A1063" s="2" t="str">
        <x:v>U5440</x:v>
      </x:c>
      <x:c r="B1063" s="2" t="str">
        <x:v>LTC6993HS6-1#WTRPBF</x:v>
      </x:c>
      <x:c r="C1063" s="2" t="str">
        <x:v>Да</x:v>
      </x:c>
      <x:c r="D1063" s="8" t="str">
        <x:v>LTC6993HS6-1#WTRPBF</x:v>
      </x:c>
      <x:c r="E1063" s="2" t="str">
        <x:v>Analog Devices</x:v>
      </x:c>
      <x:c r="F1063" s="8" t="str">
        <x:v>TSOT-23-6</x:v>
      </x:c>
      <x:c r="G1063" s="2" t="str">
        <x:v>SURFACE_MOUNT</x:v>
      </x:c>
      <x:c r="H1063" s="2" t="str">
        <x:v>REFERENCE_MPN_RETAINED</x:v>
      </x:c>
      <x:c r="I1063" s="2" t="str">
        <x:v>Не выпущено</x:v>
      </x:c>
      <x:c r="J1063" s="31" t="str"/>
      <x:c r="K1063" s="31" t="str">
        <x:v>https://www.analog.com/en/search.html?q=LTC6993HS6-1#WTRPBF</x:v>
      </x:c>
      <x:c r="L1063" s="31" t="str">
        <x:v>Existing schematic MPN retained. Complete circuit rating/temperature and package signoff is still required.</x:v>
      </x:c>
    </x:row>
    <x:row r="1064" ht="38" customHeight="1">
      <x:c r="A1064" s="12" t="str">
        <x:v>U5441</x:v>
      </x:c>
      <x:c r="B1064" s="12" t="str">
        <x:v>SN74LVC1G11BDCKRQ1</x:v>
      </x:c>
      <x:c r="C1064" s="12" t="str">
        <x:v>Да</x:v>
      </x:c>
      <x:c r="D1064" s="11" t="str">
        <x:v>SN74LVC1G11BDCKRQ1</x:v>
      </x:c>
      <x:c r="E1064" s="12" t="str">
        <x:v>Texas Instruments</x:v>
      </x:c>
      <x:c r="F1064" s="11" t="str">
        <x:v>SOT-363_SC-70-6</x:v>
      </x:c>
      <x:c r="G1064" s="12" t="str">
        <x:v>SURFACE_MOUNT</x:v>
      </x:c>
      <x:c r="H1064" s="12" t="str">
        <x:v>REFERENCE_MPN_RETAINED</x:v>
      </x:c>
      <x:c r="I1064" s="12" t="str">
        <x:v>Не выпущено</x:v>
      </x:c>
      <x:c r="J1064" s="33" t="str"/>
      <x:c r="K1064" s="33" t="str">
        <x:v>https://www.ti.com/product/SN74LVC1G11B-Q1/part-details/SN74LVC1G11BDCKRQ1</x:v>
      </x:c>
      <x:c r="L1064" s="33" t="str">
        <x:v>Existing schematic MPN retained. Complete circuit rating/temperature and package signoff is still required.</x:v>
      </x:c>
    </x:row>
    <x:row r="1065" ht="38" customHeight="1">
      <x:c r="A1065" s="2" t="str">
        <x:v>U5442</x:v>
      </x:c>
      <x:c r="B1065" s="2" t="str">
        <x:v>INA300AQDGSRQ1</x:v>
      </x:c>
      <x:c r="C1065" s="2" t="str">
        <x:v>Да</x:v>
      </x:c>
      <x:c r="D1065" s="8" t="str">
        <x:v>INA300AQDGSRQ1</x:v>
      </x:c>
      <x:c r="E1065" s="2" t="str">
        <x:v>Texas Instruments</x:v>
      </x:c>
      <x:c r="F1065" s="8" t="str">
        <x:v>VSSOP-10_3x3mm_P0.5mm</x:v>
      </x:c>
      <x:c r="G1065" s="2" t="str">
        <x:v>SURFACE_MOUNT</x:v>
      </x:c>
      <x:c r="H1065" s="2" t="str">
        <x:v>SELECTED_CONDITIONAL</x:v>
      </x:c>
      <x:c r="I1065" s="2" t="str">
        <x:v>Не выпущено</x:v>
      </x:c>
      <x:c r="J1065" s="31" t="str">
        <x:v>supply_min_v: 2.7; supply_max_v: 5.5; common_mode_min_v: 0; common_mode_max_v: 36; response_options_us: [10, 50, 100]; temperature_min_c: -40; temperature_max_c: 125</x:v>
      </x:c>
      <x:c r="K1065" s="31" t="str">
        <x:v>https://www.ti.com/product/INA300-Q1</x:v>
      </x:c>
      <x:c r="L1065" s="31" t="str">
        <x:v>Catalog family limits verified; exact order suffix and circuit stress/thermal margin remain board qualification.</x:v>
      </x:c>
    </x:row>
    <x:row r="1066" ht="38" customHeight="1">
      <x:c r="A1066" s="12" t="str">
        <x:v>U5460</x:v>
      </x:c>
      <x:c r="B1066" s="12" t="str">
        <x:v>LTC6993HS6-1#WTRPBF</x:v>
      </x:c>
      <x:c r="C1066" s="12" t="str">
        <x:v>Да</x:v>
      </x:c>
      <x:c r="D1066" s="11" t="str">
        <x:v>LTC6993HS6-1#WTRPBF</x:v>
      </x:c>
      <x:c r="E1066" s="12" t="str">
        <x:v>Analog Devices</x:v>
      </x:c>
      <x:c r="F1066" s="11" t="str">
        <x:v>TSOT-23-6</x:v>
      </x:c>
      <x:c r="G1066" s="12" t="str">
        <x:v>SURFACE_MOUNT</x:v>
      </x:c>
      <x:c r="H1066" s="12" t="str">
        <x:v>REFERENCE_MPN_RETAINED</x:v>
      </x:c>
      <x:c r="I1066" s="12" t="str">
        <x:v>Не выпущено</x:v>
      </x:c>
      <x:c r="J1066" s="33" t="str"/>
      <x:c r="K1066" s="33" t="str">
        <x:v>https://www.analog.com/en/search.html?q=LTC6993HS6-1#WTRPBF</x:v>
      </x:c>
      <x:c r="L1066" s="33" t="str">
        <x:v>Existing schematic MPN retained. Complete circuit rating/temperature and package signoff is still required.</x:v>
      </x:c>
    </x:row>
    <x:row r="1067" ht="38" customHeight="1">
      <x:c r="A1067" s="2" t="str">
        <x:v>U5461</x:v>
      </x:c>
      <x:c r="B1067" s="2" t="str">
        <x:v>SN74LVC1G11BDCKRQ1</x:v>
      </x:c>
      <x:c r="C1067" s="2" t="str">
        <x:v>Да</x:v>
      </x:c>
      <x:c r="D1067" s="8" t="str">
        <x:v>SN74LVC1G11BDCKRQ1</x:v>
      </x:c>
      <x:c r="E1067" s="2" t="str">
        <x:v>Texas Instruments</x:v>
      </x:c>
      <x:c r="F1067" s="8" t="str">
        <x:v>SOT-363_SC-70-6</x:v>
      </x:c>
      <x:c r="G1067" s="2" t="str">
        <x:v>SURFACE_MOUNT</x:v>
      </x:c>
      <x:c r="H1067" s="2" t="str">
        <x:v>REFERENCE_MPN_RETAINED</x:v>
      </x:c>
      <x:c r="I1067" s="2" t="str">
        <x:v>Не выпущено</x:v>
      </x:c>
      <x:c r="J1067" s="31" t="str"/>
      <x:c r="K1067" s="31" t="str">
        <x:v>https://www.ti.com/product/SN74LVC1G11B-Q1/part-details/SN74LVC1G11BDCKRQ1</x:v>
      </x:c>
      <x:c r="L1067" s="31" t="str">
        <x:v>Existing schematic MPN retained. Complete circuit rating/temperature and package signoff is still required.</x:v>
      </x:c>
    </x:row>
    <x:row r="1068" ht="38" customHeight="1">
      <x:c r="A1068" s="12" t="str">
        <x:v>U5462</x:v>
      </x:c>
      <x:c r="B1068" s="12" t="str">
        <x:v>INA300AQDGSRQ1</x:v>
      </x:c>
      <x:c r="C1068" s="12" t="str">
        <x:v>Да</x:v>
      </x:c>
      <x:c r="D1068" s="11" t="str">
        <x:v>INA300AQDGSRQ1</x:v>
      </x:c>
      <x:c r="E1068" s="12" t="str">
        <x:v>Texas Instruments</x:v>
      </x:c>
      <x:c r="F1068" s="11" t="str">
        <x:v>VSSOP-10_3x3mm_P0.5mm</x:v>
      </x:c>
      <x:c r="G1068" s="12" t="str">
        <x:v>SURFACE_MOUNT</x:v>
      </x:c>
      <x:c r="H1068" s="12" t="str">
        <x:v>SELECTED_CONDITIONAL</x:v>
      </x:c>
      <x:c r="I1068" s="12" t="str">
        <x:v>Не выпущено</x:v>
      </x:c>
      <x:c r="J1068" s="33" t="str">
        <x:v>supply_min_v: 2.7; supply_max_v: 5.5; common_mode_min_v: 0; common_mode_max_v: 36; response_options_us: [10, 50, 100]; temperature_min_c: -40; temperature_max_c: 125</x:v>
      </x:c>
      <x:c r="K1068" s="33" t="str">
        <x:v>https://www.ti.com/product/INA300-Q1</x:v>
      </x:c>
      <x:c r="L1068" s="33" t="str">
        <x:v>Catalog family limits verified; exact order suffix and circuit stress/thermal margin remain board qualification.</x:v>
      </x:c>
    </x:row>
    <x:row r="1069" ht="38" customHeight="1">
      <x:c r="A1069" s="2" t="str">
        <x:v>U5480</x:v>
      </x:c>
      <x:c r="B1069" s="2" t="str">
        <x:v>LTC6993HS6-1#WTRPBF</x:v>
      </x:c>
      <x:c r="C1069" s="2" t="str">
        <x:v>Да</x:v>
      </x:c>
      <x:c r="D1069" s="8" t="str">
        <x:v>LTC6993HS6-1#WTRPBF</x:v>
      </x:c>
      <x:c r="E1069" s="2" t="str">
        <x:v>Analog Devices</x:v>
      </x:c>
      <x:c r="F1069" s="8" t="str">
        <x:v>TSOT-23-6</x:v>
      </x:c>
      <x:c r="G1069" s="2" t="str">
        <x:v>SURFACE_MOUNT</x:v>
      </x:c>
      <x:c r="H1069" s="2" t="str">
        <x:v>REFERENCE_MPN_RETAINED</x:v>
      </x:c>
      <x:c r="I1069" s="2" t="str">
        <x:v>Не выпущено</x:v>
      </x:c>
      <x:c r="J1069" s="31" t="str"/>
      <x:c r="K1069" s="31" t="str">
        <x:v>https://www.analog.com/en/search.html?q=LTC6993HS6-1#WTRPBF</x:v>
      </x:c>
      <x:c r="L1069" s="31" t="str">
        <x:v>Existing schematic MPN retained. Complete circuit rating/temperature and package signoff is still required.</x:v>
      </x:c>
    </x:row>
    <x:row r="1070" ht="38" customHeight="1">
      <x:c r="A1070" s="12" t="str">
        <x:v>U5481</x:v>
      </x:c>
      <x:c r="B1070" s="12" t="str">
        <x:v>SN74LVC1G11BDCKRQ1</x:v>
      </x:c>
      <x:c r="C1070" s="12" t="str">
        <x:v>Да</x:v>
      </x:c>
      <x:c r="D1070" s="11" t="str">
        <x:v>SN74LVC1G11BDCKRQ1</x:v>
      </x:c>
      <x:c r="E1070" s="12" t="str">
        <x:v>Texas Instruments</x:v>
      </x:c>
      <x:c r="F1070" s="11" t="str">
        <x:v>SOT-363_SC-70-6</x:v>
      </x:c>
      <x:c r="G1070" s="12" t="str">
        <x:v>SURFACE_MOUNT</x:v>
      </x:c>
      <x:c r="H1070" s="12" t="str">
        <x:v>REFERENCE_MPN_RETAINED</x:v>
      </x:c>
      <x:c r="I1070" s="12" t="str">
        <x:v>Не выпущено</x:v>
      </x:c>
      <x:c r="J1070" s="33" t="str"/>
      <x:c r="K1070" s="33" t="str">
        <x:v>https://www.ti.com/product/SN74LVC1G11B-Q1/part-details/SN74LVC1G11BDCKRQ1</x:v>
      </x:c>
      <x:c r="L1070" s="33" t="str">
        <x:v>Existing schematic MPN retained. Complete circuit rating/temperature and package signoff is still required.</x:v>
      </x:c>
    </x:row>
    <x:row r="1071" ht="38" customHeight="1">
      <x:c r="A1071" s="2" t="str">
        <x:v>U5482</x:v>
      </x:c>
      <x:c r="B1071" s="2" t="str">
        <x:v>INA300AQDGSRQ1</x:v>
      </x:c>
      <x:c r="C1071" s="2" t="str">
        <x:v>Да</x:v>
      </x:c>
      <x:c r="D1071" s="8" t="str">
        <x:v>INA300AQDGSRQ1</x:v>
      </x:c>
      <x:c r="E1071" s="2" t="str">
        <x:v>Texas Instruments</x:v>
      </x:c>
      <x:c r="F1071" s="8" t="str">
        <x:v>VSSOP-10_3x3mm_P0.5mm</x:v>
      </x:c>
      <x:c r="G1071" s="2" t="str">
        <x:v>SURFACE_MOUNT</x:v>
      </x:c>
      <x:c r="H1071" s="2" t="str">
        <x:v>SELECTED_CONDITIONAL</x:v>
      </x:c>
      <x:c r="I1071" s="2" t="str">
        <x:v>Не выпущено</x:v>
      </x:c>
      <x:c r="J1071" s="31" t="str">
        <x:v>supply_min_v: 2.7; supply_max_v: 5.5; common_mode_min_v: 0; common_mode_max_v: 36; response_options_us: [10, 50, 100]; temperature_min_c: -40; temperature_max_c: 125</x:v>
      </x:c>
      <x:c r="K1071" s="31" t="str">
        <x:v>https://www.ti.com/product/INA300-Q1</x:v>
      </x:c>
      <x:c r="L1071" s="31" t="str">
        <x:v>Catalog family limits verified; exact order suffix and circuit stress/thermal margin remain board qualification.</x:v>
      </x:c>
    </x:row>
    <x:row r="1072" ht="38" customHeight="1">
      <x:c r="A1072" s="12" t="str">
        <x:v>U5500</x:v>
      </x:c>
      <x:c r="B1072" s="12" t="str">
        <x:v>LTC6993HS6-1#WTRPBF</x:v>
      </x:c>
      <x:c r="C1072" s="12" t="str">
        <x:v>Да</x:v>
      </x:c>
      <x:c r="D1072" s="11" t="str">
        <x:v>LTC6993HS6-1#WTRPBF</x:v>
      </x:c>
      <x:c r="E1072" s="12" t="str">
        <x:v>Analog Devices</x:v>
      </x:c>
      <x:c r="F1072" s="11" t="str">
        <x:v>TSOT-23-6</x:v>
      </x:c>
      <x:c r="G1072" s="12" t="str">
        <x:v>SURFACE_MOUNT</x:v>
      </x:c>
      <x:c r="H1072" s="12" t="str">
        <x:v>REFERENCE_MPN_RETAINED</x:v>
      </x:c>
      <x:c r="I1072" s="12" t="str">
        <x:v>Не выпущено</x:v>
      </x:c>
      <x:c r="J1072" s="33" t="str"/>
      <x:c r="K1072" s="33" t="str">
        <x:v>https://www.analog.com/en/search.html?q=LTC6993HS6-1#WTRPBF</x:v>
      </x:c>
      <x:c r="L1072" s="33" t="str">
        <x:v>Existing schematic MPN retained. Complete circuit rating/temperature and package signoff is still required.</x:v>
      </x:c>
    </x:row>
    <x:row r="1073" ht="38" customHeight="1">
      <x:c r="A1073" s="2" t="str">
        <x:v>U5501</x:v>
      </x:c>
      <x:c r="B1073" s="2" t="str">
        <x:v>SN74LVC1G11BDCKRQ1</x:v>
      </x:c>
      <x:c r="C1073" s="2" t="str">
        <x:v>Да</x:v>
      </x:c>
      <x:c r="D1073" s="8" t="str">
        <x:v>SN74LVC1G11BDCKRQ1</x:v>
      </x:c>
      <x:c r="E1073" s="2" t="str">
        <x:v>Texas Instruments</x:v>
      </x:c>
      <x:c r="F1073" s="8" t="str">
        <x:v>SOT-363_SC-70-6</x:v>
      </x:c>
      <x:c r="G1073" s="2" t="str">
        <x:v>SURFACE_MOUNT</x:v>
      </x:c>
      <x:c r="H1073" s="2" t="str">
        <x:v>REFERENCE_MPN_RETAINED</x:v>
      </x:c>
      <x:c r="I1073" s="2" t="str">
        <x:v>Не выпущено</x:v>
      </x:c>
      <x:c r="J1073" s="31" t="str"/>
      <x:c r="K1073" s="31" t="str">
        <x:v>https://www.ti.com/product/SN74LVC1G11B-Q1/part-details/SN74LVC1G11BDCKRQ1</x:v>
      </x:c>
      <x:c r="L1073" s="31" t="str">
        <x:v>Existing schematic MPN retained. Complete circuit rating/temperature and package signoff is still required.</x:v>
      </x:c>
    </x:row>
    <x:row r="1074" ht="38" customHeight="1">
      <x:c r="A1074" s="12" t="str">
        <x:v>U5502</x:v>
      </x:c>
      <x:c r="B1074" s="12" t="str">
        <x:v>INA300AQDGSRQ1</x:v>
      </x:c>
      <x:c r="C1074" s="12" t="str">
        <x:v>Да</x:v>
      </x:c>
      <x:c r="D1074" s="11" t="str">
        <x:v>INA300AQDGSRQ1</x:v>
      </x:c>
      <x:c r="E1074" s="12" t="str">
        <x:v>Texas Instruments</x:v>
      </x:c>
      <x:c r="F1074" s="11" t="str">
        <x:v>VSSOP-10_3x3mm_P0.5mm</x:v>
      </x:c>
      <x:c r="G1074" s="12" t="str">
        <x:v>SURFACE_MOUNT</x:v>
      </x:c>
      <x:c r="H1074" s="12" t="str">
        <x:v>SELECTED_CONDITIONAL</x:v>
      </x:c>
      <x:c r="I1074" s="12" t="str">
        <x:v>Не выпущено</x:v>
      </x:c>
      <x:c r="J1074" s="33" t="str">
        <x:v>supply_min_v: 2.7; supply_max_v: 5.5; common_mode_min_v: 0; common_mode_max_v: 36; response_options_us: [10, 50, 100]; temperature_min_c: -40; temperature_max_c: 125</x:v>
      </x:c>
      <x:c r="K1074" s="33" t="str">
        <x:v>https://www.ti.com/product/INA300-Q1</x:v>
      </x:c>
      <x:c r="L1074" s="33" t="str">
        <x:v>Catalog family limits verified; exact order suffix and circuit stress/thermal margin remain board qualification.</x:v>
      </x:c>
    </x:row>
    <x:row r="1075" ht="38" customHeight="1">
      <x:c r="A1075" s="2" t="str">
        <x:v>U5520</x:v>
      </x:c>
      <x:c r="B1075" s="2" t="str">
        <x:v>LTC6993HS6-1#WTRPBF</x:v>
      </x:c>
      <x:c r="C1075" s="2" t="str">
        <x:v>Да</x:v>
      </x:c>
      <x:c r="D1075" s="8" t="str">
        <x:v>LTC6993HS6-1#WTRPBF</x:v>
      </x:c>
      <x:c r="E1075" s="2" t="str">
        <x:v>Analog Devices</x:v>
      </x:c>
      <x:c r="F1075" s="8" t="str">
        <x:v>TSOT-23-6</x:v>
      </x:c>
      <x:c r="G1075" s="2" t="str">
        <x:v>SURFACE_MOUNT</x:v>
      </x:c>
      <x:c r="H1075" s="2" t="str">
        <x:v>REFERENCE_MPN_RETAINED</x:v>
      </x:c>
      <x:c r="I1075" s="2" t="str">
        <x:v>Не выпущено</x:v>
      </x:c>
      <x:c r="J1075" s="31" t="str"/>
      <x:c r="K1075" s="31" t="str">
        <x:v>https://www.analog.com/en/search.html?q=LTC6993HS6-1#WTRPBF</x:v>
      </x:c>
      <x:c r="L1075" s="31" t="str">
        <x:v>Existing schematic MPN retained. Complete circuit rating/temperature and package signoff is still required.</x:v>
      </x:c>
    </x:row>
    <x:row r="1076" ht="38" customHeight="1">
      <x:c r="A1076" s="12" t="str">
        <x:v>U5521</x:v>
      </x:c>
      <x:c r="B1076" s="12" t="str">
        <x:v>SN74LVC1G11BDCKRQ1</x:v>
      </x:c>
      <x:c r="C1076" s="12" t="str">
        <x:v>Да</x:v>
      </x:c>
      <x:c r="D1076" s="11" t="str">
        <x:v>SN74LVC1G11BDCKRQ1</x:v>
      </x:c>
      <x:c r="E1076" s="12" t="str">
        <x:v>Texas Instruments</x:v>
      </x:c>
      <x:c r="F1076" s="11" t="str">
        <x:v>SOT-363_SC-70-6</x:v>
      </x:c>
      <x:c r="G1076" s="12" t="str">
        <x:v>SURFACE_MOUNT</x:v>
      </x:c>
      <x:c r="H1076" s="12" t="str">
        <x:v>REFERENCE_MPN_RETAINED</x:v>
      </x:c>
      <x:c r="I1076" s="12" t="str">
        <x:v>Не выпущено</x:v>
      </x:c>
      <x:c r="J1076" s="33" t="str"/>
      <x:c r="K1076" s="33" t="str">
        <x:v>https://www.ti.com/product/SN74LVC1G11B-Q1/part-details/SN74LVC1G11BDCKRQ1</x:v>
      </x:c>
      <x:c r="L1076" s="33" t="str">
        <x:v>Existing schematic MPN retained. Complete circuit rating/temperature and package signoff is still required.</x:v>
      </x:c>
    </x:row>
    <x:row r="1077" ht="38" customHeight="1">
      <x:c r="A1077" s="2" t="str">
        <x:v>U5522</x:v>
      </x:c>
      <x:c r="B1077" s="2" t="str">
        <x:v>INA300AQDGSRQ1</x:v>
      </x:c>
      <x:c r="C1077" s="2" t="str">
        <x:v>Да</x:v>
      </x:c>
      <x:c r="D1077" s="8" t="str">
        <x:v>INA300AQDGSRQ1</x:v>
      </x:c>
      <x:c r="E1077" s="2" t="str">
        <x:v>Texas Instruments</x:v>
      </x:c>
      <x:c r="F1077" s="8" t="str">
        <x:v>VSSOP-10_3x3mm_P0.5mm</x:v>
      </x:c>
      <x:c r="G1077" s="2" t="str">
        <x:v>SURFACE_MOUNT</x:v>
      </x:c>
      <x:c r="H1077" s="2" t="str">
        <x:v>SELECTED_CONDITIONAL</x:v>
      </x:c>
      <x:c r="I1077" s="2" t="str">
        <x:v>Не выпущено</x:v>
      </x:c>
      <x:c r="J1077" s="31" t="str">
        <x:v>supply_min_v: 2.7; supply_max_v: 5.5; common_mode_min_v: 0; common_mode_max_v: 36; response_options_us: [10, 50, 100]; temperature_min_c: -40; temperature_max_c: 125</x:v>
      </x:c>
      <x:c r="K1077" s="31" t="str">
        <x:v>https://www.ti.com/product/INA300-Q1</x:v>
      </x:c>
      <x:c r="L1077" s="31" t="str">
        <x:v>Catalog family limits verified; exact order suffix and circuit stress/thermal margin remain board qualification.</x:v>
      </x:c>
    </x:row>
    <x:row r="1078" ht="38" customHeight="1">
      <x:c r="A1078" s="12" t="str">
        <x:v>U5600</x:v>
      </x:c>
      <x:c r="B1078" s="12" t="str">
        <x:v>MCP6004T-E/ST</x:v>
      </x:c>
      <x:c r="C1078" s="12" t="str">
        <x:v>Да</x:v>
      </x:c>
      <x:c r="D1078" s="11" t="str">
        <x:v>MCP6004T-E/ST</x:v>
      </x:c>
      <x:c r="E1078" s="12" t="str">
        <x:v>Microchip Technology</x:v>
      </x:c>
      <x:c r="F1078" s="11" t="str">
        <x:v>TSSOP-14_4.4x5mm_P0.65mm</x:v>
      </x:c>
      <x:c r="G1078" s="12" t="str">
        <x:v>SURFACE_MOUNT</x:v>
      </x:c>
      <x:c r="H1078" s="12" t="str">
        <x:v>REFERENCE_MPN_RETAINED</x:v>
      </x:c>
      <x:c r="I1078" s="12" t="str">
        <x:v>Не выпущено</x:v>
      </x:c>
      <x:c r="J1078" s="33" t="str"/>
      <x:c r="K1078" s="33" t="str">
        <x:v>https://www.microchip.com/en-us/product/MCP6004</x:v>
      </x:c>
      <x:c r="L1078" s="33" t="str">
        <x:v>Existing schematic MPN retained. Complete circuit rating/temperature and package signoff is still required.</x:v>
      </x:c>
    </x:row>
    <x:row r="1079" ht="38" customHeight="1">
      <x:c r="A1079" s="2" t="str">
        <x:v>U5601</x:v>
      </x:c>
      <x:c r="B1079" s="2" t="str">
        <x:v>AD8628ARTZ-REEL7</x:v>
      </x:c>
      <x:c r="C1079" s="2" t="str">
        <x:v>Да</x:v>
      </x:c>
      <x:c r="D1079" s="8" t="str">
        <x:v>AD8628ARTZ-REEL7</x:v>
      </x:c>
      <x:c r="E1079" s="2" t="str">
        <x:v>Analog Devices</x:v>
      </x:c>
      <x:c r="F1079" s="8" t="str">
        <x:v>TSOT-23-5</x:v>
      </x:c>
      <x:c r="G1079" s="2" t="str">
        <x:v>SURFACE_MOUNT</x:v>
      </x:c>
      <x:c r="H1079" s="2" t="str">
        <x:v>REFERENCE_MPN_RETAINED</x:v>
      </x:c>
      <x:c r="I1079" s="2" t="str">
        <x:v>Не выпущено</x:v>
      </x:c>
      <x:c r="J1079" s="31" t="str"/>
      <x:c r="K1079" s="31" t="str">
        <x:v>https://www.analog.com/en/search.html?q=AD8628ARTZ-REEL7</x:v>
      </x:c>
      <x:c r="L1079" s="31" t="str">
        <x:v>Existing schematic MPN retained. Complete circuit rating/temperature and package signoff is still required.</x:v>
      </x:c>
    </x:row>
    <x:row r="1080" ht="38" customHeight="1">
      <x:c r="A1080" s="12" t="str">
        <x:v>U5602</x:v>
      </x:c>
      <x:c r="B1080" s="12" t="str">
        <x:v>STM32F042K6T6</x:v>
      </x:c>
      <x:c r="C1080" s="12" t="str">
        <x:v>Да</x:v>
      </x:c>
      <x:c r="D1080" s="11" t="str">
        <x:v>STM32F042K6T6</x:v>
      </x:c>
      <x:c r="E1080" s="12" t="str">
        <x:v>STMicroelectronics</x:v>
      </x:c>
      <x:c r="F1080" s="11" t="str">
        <x:v>LQFP-32_7x7mm_P0.8mm</x:v>
      </x:c>
      <x:c r="G1080" s="12" t="str">
        <x:v>SURFACE_MOUNT</x:v>
      </x:c>
      <x:c r="H1080" s="12" t="str">
        <x:v>REFERENCE_MPN_RETAINED</x:v>
      </x:c>
      <x:c r="I1080" s="12" t="str">
        <x:v>Не выпущено</x:v>
      </x:c>
      <x:c r="J1080" s="33" t="str"/>
      <x:c r="K1080" s="33" t="str">
        <x:v>https://www.st.com/en/search.html#q=STM32F042K6T6</x:v>
      </x:c>
      <x:c r="L1080" s="33" t="str">
        <x:v>Existing schematic MPN retained. Complete circuit rating/temperature and package signoff is still required.</x:v>
      </x:c>
    </x:row>
    <x:row r="1081" ht="38" customHeight="1">
      <x:c r="A1081" s="2" t="str">
        <x:v>U5603</x:v>
      </x:c>
      <x:c r="B1081" s="2" t="str">
        <x:v>REF3033AIDBZR</x:v>
      </x:c>
      <x:c r="C1081" s="2" t="str">
        <x:v>Да</x:v>
      </x:c>
      <x:c r="D1081" s="8" t="str">
        <x:v>REF3033AIDBZR</x:v>
      </x:c>
      <x:c r="E1081" s="2" t="str">
        <x:v>Texas Instruments</x:v>
      </x:c>
      <x:c r="F1081" s="8" t="str">
        <x:v>SOT-23</x:v>
      </x:c>
      <x:c r="G1081" s="2" t="str">
        <x:v>SURFACE_MOUNT</x:v>
      </x:c>
      <x:c r="H1081" s="2" t="str">
        <x:v>REFERENCE_MPN_RETAINED</x:v>
      </x:c>
      <x:c r="I1081" s="2" t="str">
        <x:v>Не выпущено</x:v>
      </x:c>
      <x:c r="J1081" s="31" t="str"/>
      <x:c r="K1081" s="31" t="str">
        <x:v>https://www.ti.com/product/REF3033/part-details/REF3033AIDBZR</x:v>
      </x:c>
      <x:c r="L1081" s="31" t="str">
        <x:v>Existing schematic MPN retained. Complete circuit rating/temperature and package signoff is still required.</x:v>
      </x:c>
    </x:row>
    <x:row r="1082" ht="38" customHeight="1">
      <x:c r="A1082" s="12" t="str">
        <x:v>U5604</x:v>
      </x:c>
      <x:c r="B1082" s="12" t="str">
        <x:v>LT3042IMSE#WTRPBF</x:v>
      </x:c>
      <x:c r="C1082" s="12" t="str">
        <x:v>Да</x:v>
      </x:c>
      <x:c r="D1082" s="11" t="str">
        <x:v>LT3042IMSE#WTRPBF</x:v>
      </x:c>
      <x:c r="E1082" s="12" t="str">
        <x:v>Analog Devices</x:v>
      </x:c>
      <x:c r="F1082" s="11" t="str">
        <x:v>MSOP-10-1EP_3x3mm_P0.5mm_EP1.68x1.88mm</x:v>
      </x:c>
      <x:c r="G1082" s="12" t="str">
        <x:v>SURFACE_MOUNT</x:v>
      </x:c>
      <x:c r="H1082" s="12" t="str">
        <x:v>SELECTED_CONDITIONAL</x:v>
      </x:c>
      <x:c r="I1082" s="12" t="str">
        <x:v>Не выпущено</x:v>
      </x:c>
      <x:c r="J1082" s="33" t="str">
        <x:v>supply_min_v: 1.8; supply_max_v: 20; output_current_catalog_a: 0.2; output_min_v: 0; output_max_v: 15; required_output_effective_capacitance_uf: 4.7</x:v>
      </x:c>
      <x:c r="K1082" s="33" t="str">
        <x:v>https://www.analog.com/en/products/lt3042.html</x:v>
      </x:c>
      <x:c r="L1082" s="33" t="str">
        <x:v>Automotive W order suffix retained; pricing must not silently use non-W version. Output minimum4.7uF needs effective capacitance review.</x:v>
      </x:c>
    </x:row>
    <x:row r="1083" ht="38" customHeight="1">
      <x:c r="A1083" s="2" t="str">
        <x:v>U5605</x:v>
      </x:c>
      <x:c r="B1083" s="2" t="str">
        <x:v>TJA1051T/3/1J</x:v>
      </x:c>
      <x:c r="C1083" s="2" t="str">
        <x:v>Да</x:v>
      </x:c>
      <x:c r="D1083" s="8" t="str">
        <x:v>TJA1051T/3/1J</x:v>
      </x:c>
      <x:c r="E1083" s="2" t="str">
        <x:v>NXP Semiconductors</x:v>
      </x:c>
      <x:c r="F1083" s="8" t="str">
        <x:v>SOIC-8_3.9x4.9mm_P1.27mm</x:v>
      </x:c>
      <x:c r="G1083" s="2" t="str">
        <x:v>SURFACE_MOUNT</x:v>
      </x:c>
      <x:c r="H1083" s="2" t="str">
        <x:v>REFERENCE_MPN_RETAINED</x:v>
      </x:c>
      <x:c r="I1083" s="2" t="str">
        <x:v>Не выпущено</x:v>
      </x:c>
      <x:c r="J1083" s="31" t="str"/>
      <x:c r="K1083" s="31" t="str">
        <x:v>https://www.nxp.com/docs/en/data-sheet/TJA1051.pdf</x:v>
      </x:c>
      <x:c r="L1083" s="31" t="str">
        <x:v>Existing schematic MPN retained. Complete circuit rating/temperature and package signoff is still required.</x:v>
      </x:c>
    </x:row>
    <x:row r="1084" ht="38" customHeight="1">
      <x:c r="A1084" s="12" t="str">
        <x:v>U5610</x:v>
      </x:c>
      <x:c r="B1084" s="12" t="str">
        <x:v>SN74LVC1G08QDBVRQ1</x:v>
      </x:c>
      <x:c r="C1084" s="12" t="str">
        <x:v>Да</x:v>
      </x:c>
      <x:c r="D1084" s="11" t="str">
        <x:v>SN74LVC1G08QDBVRQ1</x:v>
      </x:c>
      <x:c r="E1084" s="12" t="str">
        <x:v>Texas Instruments</x:v>
      </x:c>
      <x:c r="F1084" s="11" t="str">
        <x:v>SOT-23-5</x:v>
      </x:c>
      <x:c r="G1084" s="12" t="str">
        <x:v>SURFACE_MOUNT</x:v>
      </x:c>
      <x:c r="H1084" s="12" t="str">
        <x:v>REFERENCE_MPN_RETAINED</x:v>
      </x:c>
      <x:c r="I1084" s="12" t="str">
        <x:v>Не выпущено</x:v>
      </x:c>
      <x:c r="J1084" s="33" t="str"/>
      <x:c r="K1084" s="33" t="str">
        <x:v>https://www.ti.com/product/SN74LVC1G08-Q1/part-details/SN74LVC1G08QDBVRQ1</x:v>
      </x:c>
      <x:c r="L1084" s="33" t="str">
        <x:v>Existing schematic MPN retained. Complete circuit rating/temperature and package signoff is still required.</x:v>
      </x:c>
    </x:row>
    <x:row r="1085" ht="38" customHeight="1">
      <x:c r="A1085" s="2" t="str">
        <x:v>U5611</x:v>
      </x:c>
      <x:c r="B1085" s="2" t="str">
        <x:v>SN74AHCT1G125QDBVRQ1</x:v>
      </x:c>
      <x:c r="C1085" s="2" t="str">
        <x:v>Да</x:v>
      </x:c>
      <x:c r="D1085" s="8" t="str">
        <x:v>SN74AHCT1G125QDBVRQ1</x:v>
      </x:c>
      <x:c r="E1085" s="2" t="str">
        <x:v>Texas Instruments</x:v>
      </x:c>
      <x:c r="F1085" s="8" t="str">
        <x:v>SOT-23-5</x:v>
      </x:c>
      <x:c r="G1085" s="2" t="str">
        <x:v>SURFACE_MOUNT</x:v>
      </x:c>
      <x:c r="H1085" s="2" t="str">
        <x:v>REFERENCE_MPN_RETAINED</x:v>
      </x:c>
      <x:c r="I1085" s="2" t="str">
        <x:v>Не выпущено</x:v>
      </x:c>
      <x:c r="J1085" s="31" t="str"/>
      <x:c r="K1085" s="31" t="str">
        <x:v>https://www.ti.com/product/SN74AHCT1G125-Q1/part-details/SN74AHCT1G125QDBVRQ1</x:v>
      </x:c>
      <x:c r="L1085" s="31" t="str">
        <x:v>Existing schematic MPN retained. Complete circuit rating/temperature and package signoff is still required.</x:v>
      </x:c>
    </x:row>
    <x:row r="1086" ht="38" customHeight="1">
      <x:c r="A1086" s="12" t="str">
        <x:v>U5612</x:v>
      </x:c>
      <x:c r="B1086" s="12" t="str">
        <x:v>TPS3808G33QDBVRQ1</x:v>
      </x:c>
      <x:c r="C1086" s="12" t="str">
        <x:v>Да</x:v>
      </x:c>
      <x:c r="D1086" s="11" t="str">
        <x:v>TPS3808G33QDBVRQ1</x:v>
      </x:c>
      <x:c r="E1086" s="12" t="str">
        <x:v>Texas Instruments</x:v>
      </x:c>
      <x:c r="F1086" s="11" t="str">
        <x:v>SOT-23-6</x:v>
      </x:c>
      <x:c r="G1086" s="12" t="str">
        <x:v>SURFACE_MOUNT</x:v>
      </x:c>
      <x:c r="H1086" s="12" t="str">
        <x:v>REFERENCE_MPN_RETAINED</x:v>
      </x:c>
      <x:c r="I1086" s="12" t="str">
        <x:v>Не выпущено</x:v>
      </x:c>
      <x:c r="J1086" s="33" t="str"/>
      <x:c r="K1086" s="33" t="str">
        <x:v>https://www.ti.com/product/TPS3808-Q1/part-details/TPS3808G33QDBVRQ1</x:v>
      </x:c>
      <x:c r="L1086" s="33" t="str">
        <x:v>Existing schematic MPN retained. Complete circuit rating/temperature and package signoff is still required.</x:v>
      </x:c>
    </x:row>
    <x:row r="1087" ht="38" customHeight="1">
      <x:c r="A1087" s="2" t="str">
        <x:v>U6000</x:v>
      </x:c>
      <x:c r="B1087" s="2" t="str">
        <x:v>TLE9201SG</x:v>
      </x:c>
      <x:c r="C1087" s="2" t="str">
        <x:v>Да</x:v>
      </x:c>
      <x:c r="D1087" s="8" t="str">
        <x:v>TLE9201SGAUMA1</x:v>
      </x:c>
      <x:c r="E1087" s="2" t="str">
        <x:v>Infineon Technologies</x:v>
      </x:c>
      <x:c r="F1087" s="8" t="str">
        <x:v>Infineon_PG-DSO-12-11_ThermalVias</x:v>
      </x:c>
      <x:c r="G1087" s="2" t="str">
        <x:v>SURFACE_MOUNT</x:v>
      </x:c>
      <x:c r="H1087" s="2" t="str">
        <x:v>SELECTED_CONDITIONAL</x:v>
      </x:c>
      <x:c r="I1087" s="2" t="str">
        <x:v>Не выпущено</x:v>
      </x:c>
      <x:c r="J1087" s="31" t="str">
        <x:v>supply_min_v: 5; supply_max_v: 28; supply_absolute_max_v: 40; overcurrent_detection_min_a: 6; manufacturer_package: PG-DSO-12; rdson_high_typ_mohm: 100; rdson_low_typ_mohm: 100</x:v>
      </x:c>
      <x:c r="K1087" s="31" t="str">
        <x:v>https://www.infineon.com/part/TLE9201SG</x:v>
      </x:c>
      <x:c r="L1087" s="31" t="str">
        <x:v>6A is overcurrent detection minimum/catalog bridge class, not a proven continuous ECU current rating.</x:v>
      </x:c>
    </x:row>
    <x:row r="1088" ht="38" customHeight="1">
      <x:c r="A1088" s="12" t="str">
        <x:v>U6001</x:v>
      </x:c>
      <x:c r="B1088" s="12" t="str">
        <x:v>SN74LVC1G32QDBVRQ1</x:v>
      </x:c>
      <x:c r="C1088" s="12" t="str">
        <x:v>Да</x:v>
      </x:c>
      <x:c r="D1088" s="11" t="str">
        <x:v>SN74LVC1G32QDBVRQ1</x:v>
      </x:c>
      <x:c r="E1088" s="12" t="str">
        <x:v>Texas Instruments</x:v>
      </x:c>
      <x:c r="F1088" s="11" t="str">
        <x:v>SOT-23-5</x:v>
      </x:c>
      <x:c r="G1088" s="12" t="str">
        <x:v>SURFACE_MOUNT</x:v>
      </x:c>
      <x:c r="H1088" s="12" t="str">
        <x:v>REFERENCE_MPN_RETAINED</x:v>
      </x:c>
      <x:c r="I1088" s="12" t="str">
        <x:v>Не выпущено</x:v>
      </x:c>
      <x:c r="J1088" s="33" t="str"/>
      <x:c r="K1088" s="33" t="str">
        <x:v>https://www.ti.com/product/SN74LVC1G32-Q1/part-details/SN74LVC1G32QDBVRQ1</x:v>
      </x:c>
      <x:c r="L1088" s="33" t="str">
        <x:v>Existing schematic MPN retained. Complete circuit rating/temperature and package signoff is still required.</x:v>
      </x:c>
    </x:row>
    <x:row r="1089" ht="38" customHeight="1">
      <x:c r="A1089" s="2" t="str">
        <x:v>U6050</x:v>
      </x:c>
      <x:c r="B1089" s="2" t="str">
        <x:v>TLE9201SG</x:v>
      </x:c>
      <x:c r="C1089" s="2" t="str">
        <x:v>Да</x:v>
      </x:c>
      <x:c r="D1089" s="8" t="str">
        <x:v>TLE9201SGAUMA1</x:v>
      </x:c>
      <x:c r="E1089" s="2" t="str">
        <x:v>Infineon Technologies</x:v>
      </x:c>
      <x:c r="F1089" s="8" t="str">
        <x:v>Infineon_PG-DSO-12-11_ThermalVias</x:v>
      </x:c>
      <x:c r="G1089" s="2" t="str">
        <x:v>SURFACE_MOUNT</x:v>
      </x:c>
      <x:c r="H1089" s="2" t="str">
        <x:v>SELECTED_CONDITIONAL</x:v>
      </x:c>
      <x:c r="I1089" s="2" t="str">
        <x:v>Не выпущено</x:v>
      </x:c>
      <x:c r="J1089" s="31" t="str">
        <x:v>supply_min_v: 5; supply_max_v: 28; supply_absolute_max_v: 40; overcurrent_detection_min_a: 6; manufacturer_package: PG-DSO-12; rdson_high_typ_mohm: 100; rdson_low_typ_mohm: 100</x:v>
      </x:c>
      <x:c r="K1089" s="31" t="str">
        <x:v>https://www.infineon.com/part/TLE9201SG</x:v>
      </x:c>
      <x:c r="L1089" s="31" t="str">
        <x:v>6A is overcurrent detection minimum/catalog bridge class, not a proven continuous ECU current rating.</x:v>
      </x:c>
    </x:row>
    <x:row r="1090" ht="38" customHeight="1">
      <x:c r="A1090" s="12" t="str">
        <x:v>U6051</x:v>
      </x:c>
      <x:c r="B1090" s="12" t="str">
        <x:v>SN74LVC1G32QDBVRQ1</x:v>
      </x:c>
      <x:c r="C1090" s="12" t="str">
        <x:v>Да</x:v>
      </x:c>
      <x:c r="D1090" s="11" t="str">
        <x:v>SN74LVC1G32QDBVRQ1</x:v>
      </x:c>
      <x:c r="E1090" s="12" t="str">
        <x:v>Texas Instruments</x:v>
      </x:c>
      <x:c r="F1090" s="11" t="str">
        <x:v>SOT-23-5</x:v>
      </x:c>
      <x:c r="G1090" s="12" t="str">
        <x:v>SURFACE_MOUNT</x:v>
      </x:c>
      <x:c r="H1090" s="12" t="str">
        <x:v>REFERENCE_MPN_RETAINED</x:v>
      </x:c>
      <x:c r="I1090" s="12" t="str">
        <x:v>Не выпущено</x:v>
      </x:c>
      <x:c r="J1090" s="33" t="str"/>
      <x:c r="K1090" s="33" t="str">
        <x:v>https://www.ti.com/product/SN74LVC1G32-Q1/part-details/SN74LVC1G32QDBVRQ1</x:v>
      </x:c>
      <x:c r="L1090" s="33" t="str">
        <x:v>Existing schematic MPN retained. Complete circuit rating/temperature and package signoff is still required.</x:v>
      </x:c>
    </x:row>
    <x:row r="1091" ht="38" customHeight="1">
      <x:c r="A1091" s="2" t="str">
        <x:v>U6190</x:v>
      </x:c>
      <x:c r="B1091" s="2" t="str">
        <x:v>SN74LVC1G125QDBVRQ1</x:v>
      </x:c>
      <x:c r="C1091" s="2" t="str">
        <x:v>Да</x:v>
      </x:c>
      <x:c r="D1091" s="8" t="str">
        <x:v>SN74LVC1G125QDBVRQ1</x:v>
      </x:c>
      <x:c r="E1091" s="2" t="str">
        <x:v>Texas Instruments</x:v>
      </x:c>
      <x:c r="F1091" s="8" t="str">
        <x:v>SOT-23-5</x:v>
      </x:c>
      <x:c r="G1091" s="2" t="str">
        <x:v>SURFACE_MOUNT</x:v>
      </x:c>
      <x:c r="H1091" s="2" t="str">
        <x:v>REFERENCE_MPN_RETAINED</x:v>
      </x:c>
      <x:c r="I1091" s="2" t="str">
        <x:v>Не выпущено</x:v>
      </x:c>
      <x:c r="J1091" s="31" t="str"/>
      <x:c r="K1091" s="31" t="str">
        <x:v>https://www.ti.com/product/SN74LVC1G125-Q1/part-details/SN74LVC1G125QDBVRQ1</x:v>
      </x:c>
      <x:c r="L1091" s="31" t="str">
        <x:v>Existing schematic MPN retained. Complete circuit rating/temperature and package signoff is still required.</x:v>
      </x:c>
    </x:row>
    <x:row r="1092" ht="38" customHeight="1">
      <x:c r="A1092" s="12" t="str">
        <x:v>U6200</x:v>
      </x:c>
      <x:c r="B1092" s="12" t="str">
        <x:v>LM74800QDRRRQ1</x:v>
      </x:c>
      <x:c r="C1092" s="12" t="str">
        <x:v>Да</x:v>
      </x:c>
      <x:c r="D1092" s="11" t="str">
        <x:v>LM74800QDRRRQ1</x:v>
      </x:c>
      <x:c r="E1092" s="12" t="str">
        <x:v>Texas Instruments</x:v>
      </x:c>
      <x:c r="F1092" s="11" t="str">
        <x:v>LM74800_DRR0012E</x:v>
      </x:c>
      <x:c r="G1092" s="12" t="str">
        <x:v>SURFACE_MOUNT</x:v>
      </x:c>
      <x:c r="H1092" s="12" t="str">
        <x:v>SELECTED_CONDITIONAL</x:v>
      </x:c>
      <x:c r="I1092" s="12" t="str">
        <x:v>Не выпущено</x:v>
      </x:c>
      <x:c r="J1092" s="33" t="str">
        <x:v>supply_min_v: 3; supply_max_v: 65; reverse_input_v: -65; temperature_min_c: -40; temperature_max_c: 125</x:v>
      </x:c>
      <x:c r="K1092" s="33" t="str">
        <x:v>https://www.ti.com/product/LM7480-Q1</x:v>
      </x:c>
      <x:c r="L1092" s="33" t="str">
        <x:v>Catalog family limits verified; exact order suffix and circuit stress/thermal margin remain board qualification.</x:v>
      </x:c>
    </x:row>
    <x:row r="1093" ht="38" customHeight="1">
      <x:c r="A1093" s="2" t="str">
        <x:v>U6250</x:v>
      </x:c>
      <x:c r="B1093" s="2" t="str">
        <x:v>LM74800QDRRRQ1</x:v>
      </x:c>
      <x:c r="C1093" s="2" t="str">
        <x:v>Да</x:v>
      </x:c>
      <x:c r="D1093" s="8" t="str">
        <x:v>LM74800QDRRRQ1</x:v>
      </x:c>
      <x:c r="E1093" s="2" t="str">
        <x:v>Texas Instruments</x:v>
      </x:c>
      <x:c r="F1093" s="8" t="str">
        <x:v>LM74800_DRR0012E</x:v>
      </x:c>
      <x:c r="G1093" s="2" t="str">
        <x:v>SURFACE_MOUNT</x:v>
      </x:c>
      <x:c r="H1093" s="2" t="str">
        <x:v>SELECTED_CONDITIONAL</x:v>
      </x:c>
      <x:c r="I1093" s="2" t="str">
        <x:v>Не выпущено</x:v>
      </x:c>
      <x:c r="J1093" s="31" t="str">
        <x:v>supply_min_v: 3; supply_max_v: 65; reverse_input_v: -65; temperature_min_c: -40; temperature_max_c: 125</x:v>
      </x:c>
      <x:c r="K1093" s="31" t="str">
        <x:v>https://www.ti.com/product/LM7480-Q1</x:v>
      </x:c>
      <x:c r="L1093" s="31" t="str">
        <x:v>Catalog family limits verified; exact order suffix and circuit stress/thermal margin remain board qualification.</x:v>
      </x:c>
    </x:row>
    <x:row r="1094" ht="38" customHeight="1">
      <x:c r="A1094" s="12" t="str">
        <x:v>Y101</x:v>
      </x:c>
      <x:c r="B1094" s="12" t="str">
        <x:v>ASEM1-8.000MHZ-LC-T</x:v>
      </x:c>
      <x:c r="C1094" s="12" t="str">
        <x:v>Да</x:v>
      </x:c>
      <x:c r="D1094" s="11" t="str">
        <x:v>ASEM1-8.000MHZ-LC-T</x:v>
      </x:c>
      <x:c r="E1094" s="12" t="str">
        <x:v>Abracon</x:v>
      </x:c>
      <x:c r="F1094" s="11" t="str">
        <x:v>ASEM_3225</x:v>
      </x:c>
      <x:c r="G1094" s="12" t="str">
        <x:v>SURFACE_MOUNT</x:v>
      </x:c>
      <x:c r="H1094" s="12" t="str">
        <x:v>REFERENCE_MPN_RETAINED</x:v>
      </x:c>
      <x:c r="I1094" s="12" t="str">
        <x:v>Не выпущено</x:v>
      </x:c>
      <x:c r="J1094" s="33" t="str"/>
      <x:c r="K1094" s="33" t="str">
        <x:v>https://abracon.com/Oscillators/ASEM.pdf</x:v>
      </x:c>
      <x:c r="L1094" s="33" t="str">
        <x:v>Existing schematic MPN retained. Complete circuit rating/temperature and package signoff is still required.</x:v>
      </x:c>
    </x:row>
    <x:row r="1095" ht="38" customHeight="1">
      <x:c r="A1095" s="2" t="str">
        <x:v>Y201</x:v>
      </x:c>
      <x:c r="B1095" s="2" t="str">
        <x:v>1MHz</x:v>
      </x:c>
      <x:c r="C1095" s="2" t="str">
        <x:v>Да</x:v>
      </x:c>
      <x:c r="D1095" s="8" t="str">
        <x:v>SIT8924BM-81-33E-1.000000</x:v>
      </x:c>
      <x:c r="E1095" s="2" t="str">
        <x:v>SiTime</x:v>
      </x:c>
      <x:c r="F1095" s="8" t="str">
        <x:v>Oscillator_SMD_Diodes_FN-4Pin_7.0x5.0mm</x:v>
      </x:c>
      <x:c r="G1095" s="2" t="str">
        <x:v>SURFACE_MOUNT</x:v>
      </x:c>
      <x:c r="H1095" s="2" t="str">
        <x:v>SELECTED_CONDITIONAL</x:v>
      </x:c>
      <x:c r="I1095" s="2" t="str">
        <x:v>Не выпущено</x:v>
      </x:c>
      <x:c r="J1095" s="31" t="str">
        <x:v>frequency_hz: 1000000; supply_nominal_v: 3.3; supply_tolerance_pct: 10; stability_ppm: 20; temperature_min_c: -55; temperature_max_c: 125; body_mm: [7, 5, 1]; current_supply_max_ma: 4.8; aec_q100: True; pinout: 1 OE;2 GND;3 OUT;4 VDD; oe_pullup_typ_kohm: 100</x:v>
      </x:c>
      <x:c r="K1095" s="31" t="str">
        <x:v>https://www.sitime.com/support/resource-library/datasheets/sit8924-datasheet; https://www.digikey.com/en/products/detail/sitime/SIT8924BM-81-33E-1-000000/16053312</x:v>
      </x:c>
      <x:c r="L1095" s="31" t="str">
        <x:v>Hardware found FN pad mismatch: source span5.08x4.4/pads1.8x2.0 versus selected recommended span5.08x3.81/pads2.2x2.0. Derived footprint update required; clock/OE/thermal bench still pending.</x:v>
      </x:c>
    </x:row>
    <x:row r="1096" ht="38" customHeight="1">
      <x:c r="A1096" s="12" t="str">
        <x:v>Y301</x:v>
      </x:c>
      <x:c r="B1096" s="12" t="str">
        <x:v>1MHz</x:v>
      </x:c>
      <x:c r="C1096" s="12" t="str">
        <x:v>Да</x:v>
      </x:c>
      <x:c r="D1096" s="11" t="str">
        <x:v>SIT8924BM-81-33E-1.000000</x:v>
      </x:c>
      <x:c r="E1096" s="12" t="str">
        <x:v>SiTime</x:v>
      </x:c>
      <x:c r="F1096" s="11" t="str">
        <x:v>Oscillator_SMD_Diodes_FN-4Pin_7.0x5.0mm</x:v>
      </x:c>
      <x:c r="G1096" s="12" t="str">
        <x:v>SURFACE_MOUNT</x:v>
      </x:c>
      <x:c r="H1096" s="12" t="str">
        <x:v>SELECTED_CONDITIONAL</x:v>
      </x:c>
      <x:c r="I1096" s="12" t="str">
        <x:v>Не выпущено</x:v>
      </x:c>
      <x:c r="J1096" s="33" t="str">
        <x:v>frequency_hz: 1000000; supply_nominal_v: 3.3; supply_tolerance_pct: 10; stability_ppm: 20; temperature_min_c: -55; temperature_max_c: 125; body_mm: [7, 5, 1]; current_supply_max_ma: 4.8; aec_q100: True; pinout: 1 OE;2 GND;3 OUT;4 VDD; oe_pullup_typ_kohm: 100</x:v>
      </x:c>
      <x:c r="K1096" s="33" t="str">
        <x:v>https://www.sitime.com/support/resource-library/datasheets/sit8924-datasheet; https://www.digikey.com/en/products/detail/sitime/SIT8924BM-81-33E-1-000000/16053312</x:v>
      </x:c>
      <x:c r="L1096" s="33" t="str">
        <x:v>Hardware found FN pad mismatch: source span5.08x4.4/pads1.8x2.0 versus selected recommended span5.08x3.81/pads2.2x2.0. Derived footprint update required; clock/OE/thermal bench still pending.</x:v>
      </x:c>
    </x:row>
    <x:row r="1097" ht="38" customHeight="1">
      <x:c r="A1097" s="2" t="str">
        <x:v>Y1701</x:v>
      </x:c>
      <x:c r="B1097" s="2" t="str">
        <x:v>ASEM1-8.000MHZ-LC-T</x:v>
      </x:c>
      <x:c r="C1097" s="2" t="str">
        <x:v>Да</x:v>
      </x:c>
      <x:c r="D1097" s="8" t="str">
        <x:v>ASEM1-8.000MHZ-LC-T</x:v>
      </x:c>
      <x:c r="E1097" s="2" t="str">
        <x:v>Abracon</x:v>
      </x:c>
      <x:c r="F1097" s="8" t="str">
        <x:v>ASEM_3225</x:v>
      </x:c>
      <x:c r="G1097" s="2" t="str">
        <x:v>SURFACE_MOUNT</x:v>
      </x:c>
      <x:c r="H1097" s="2" t="str">
        <x:v>REFERENCE_MPN_RETAINED</x:v>
      </x:c>
      <x:c r="I1097" s="2" t="str">
        <x:v>Не выпущено</x:v>
      </x:c>
      <x:c r="J1097" s="31" t="str"/>
      <x:c r="K1097" s="31" t="str">
        <x:v>https://abracon.com/Oscillators/ASEM.pdf</x:v>
      </x:c>
      <x:c r="L1097" s="31" t="str">
        <x:v>Existing schematic MPN retained. Complete circuit rating/temperature and package signoff is still required.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5A8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08" hidden="0" customWidth="1"/>
  </x:cols>
  <x:sheetData>
    <x:row r="1" ht="24" customHeight="1">
      <x:c r="A1" s="3" t="str">
        <x:v>Версия исходных данных</x:v>
      </x:c>
      <x:c r="B1" s="2"/>
    </x:row>
    <x:row r="2" ht="24" customHeight="1">
      <x:c r="A2" s="4" t="str">
        <x:v>28.10.2026 • связь схемы, платы и сметы</x:v>
      </x:c>
      <x:c r="B2" s="2"/>
    </x:row>
    <x:row r="3" ht="24" customHeight="1">
      <x:c r="A3" s="2"/>
      <x:c r="B3" s="2"/>
    </x:row>
    <x:row r="4" ht="24" customHeight="1">
      <x:c r="A4" s="2"/>
      <x:c r="B4" s="2"/>
    </x:row>
    <x:row r="5" ht="44" customHeight="1">
      <x:c r="A5" s="7" t="str">
        <x:v>Источник</x:v>
      </x:c>
      <x:c r="B5" s="7" t="str">
        <x:v>Значение</x:v>
      </x:c>
    </x:row>
    <x:row r="6" ht="42" customHeight="1">
      <x:c r="A6" s="31" t="str">
        <x:v>Ревизия репозитория</x:v>
      </x:c>
      <x:c r="B6" s="32" t="str">
        <x:v>78a31c871eee3ce6e5360f6e74e5b3c23f15522c</x:v>
      </x:c>
    </x:row>
    <x:row r="7" ht="42" customHeight="1">
      <x:c r="A7" s="31" t="str">
        <x:v>SHA-256 списка соединений</x:v>
      </x:c>
      <x:c r="B7" s="32" t="str">
        <x:v>abd9c0533019b9811a75fa73c46c1a9d9b97511d5f858edb2b88ae1e98a87462</x:v>
      </x:c>
    </x:row>
    <x:row r="8" ht="42" customHeight="1">
      <x:c r="A8" s="31" t="str">
        <x:v>SHA-256 платы</x:v>
      </x:c>
      <x:c r="B8" s="32" t="str">
        <x:v>e1887db8720d0945f611a9e5fe935d72f429a886bd382a77690af20472098e17</x:v>
      </x:c>
    </x:row>
    <x:row r="9" ht="42" customHeight="1">
      <x:c r="A9" s="31" t="str">
        <x:v>SHA-256 входов расчёта</x:v>
      </x:c>
      <x:c r="B9" s="32" t="str">
        <x:v>944f28eaac93cd5eeaf94268f00524fe16fa83df29807e59240ed5b0c4e83e6c</x:v>
      </x:c>
    </x:row>
    <x:row r="10" ht="42" customHeight="1">
      <x:c r="A10" s="31" t="str">
        <x:v>Устанавливаемых позиций</x:v>
      </x:c>
      <x:c r="B10" s="32" t="str">
        <x:v>1047</x:v>
      </x:c>
    </x:row>
    <x:row r="11" ht="42" customHeight="1">
      <x:c r="A11" s="31" t="str">
        <x:v>Групп закупки</x:v>
      </x:c>
      <x:c r="B11" s="32" t="str">
        <x:v>149</x:v>
      </x:c>
    </x:row>
    <x:row r="12" ht="42" customHeight="1">
      <x:c r="A12" s="31" t="str">
        <x:v>Статус</x:v>
      </x:c>
      <x:c r="B12" s="32" t="str">
        <x:v>Инженерная версия; производство и работа на двигателе не разрешены.</x:v>
      </x:c>
    </x:row>
    <x:row r="13" ht="42" customHeight="1">
      <x:c r="A13" s="31" t="str">
        <x:v>Пересчёт</x:v>
      </x:c>
      <x:c r="B13" s="32" t="str">
        <x:v>Синие входы и формулы меняют базовую смету. Нижняя и верхняя оценки сохранены на дату расчёта.</x:v>
      </x:c>
    </x:row>
    <x:row r="14" ht="24" customHeight="1">
      <x:c r="A14" s="2"/>
      <x:c r="B14" s="2"/>
    </x:row>
    <x:row r="15" ht="24" customHeight="1">
      <x:c r="A15" s="2"/>
      <x:c r="B15" s="2"/>
    </x:row>
  </x:sheetData>
  <x:pageMargins left="0.7" right="0.7" top="0.75" bottom="0.75" header="0.3" footer="0.3"/>
</x:worksheet>
</file>